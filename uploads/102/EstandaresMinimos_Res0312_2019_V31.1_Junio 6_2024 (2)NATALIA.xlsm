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chartsheets/sheet3.xml" ContentType="application/vnd.openxmlformats-officedocument.spreadsheetml.chart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5.xml" ContentType="application/vnd.openxmlformats-officedocument.drawing+xml"/>
  <Override PartName="/xl/comments2.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charts/chart3.xml" ContentType="application/vnd.openxmlformats-officedocument.drawingml.chart+xml"/>
  <Override PartName="/xl/drawings/drawing8.xml" ContentType="application/vnd.openxmlformats-officedocument.drawing+xml"/>
  <Override PartName="/xl/charts/chart4.xml" ContentType="application/vnd.openxmlformats-officedocument.drawingml.chart+xml"/>
  <Override PartName="/xl/drawings/drawing9.xml" ContentType="application/vnd.openxmlformats-officedocument.drawing+xml"/>
  <Override PartName="/xl/charts/chart5.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DC747B9D-DBBB-FA85-71B4-595EBAB97821}"/>
  <workbookPr codeName="ThisWorkbook" defaultThemeVersion="124226"/>
  <mc:AlternateContent xmlns:mc="http://schemas.openxmlformats.org/markup-compatibility/2006">
    <mc:Choice Requires="x15">
      <x15ac:absPath xmlns:x15ac="http://schemas.microsoft.com/office/spreadsheetml/2010/11/ac" url="G:\Mi unidad\SG-2022MNR\1.PLANEAR\2.Gestión Integral SG-SST\3.Evaluación Inicial\Evaluación inicial 2024\E.I COLMENA JUNIO 2024\"/>
    </mc:Choice>
  </mc:AlternateContent>
  <bookViews>
    <workbookView xWindow="-120" yWindow="-120" windowWidth="24240" windowHeight="13140" tabRatio="755"/>
  </bookViews>
  <sheets>
    <sheet name="Mnu" sheetId="1" r:id="rId1"/>
    <sheet name="RegEv" sheetId="9" r:id="rId2"/>
    <sheet name="TablaEst" sheetId="2" r:id="rId3"/>
    <sheet name="RegEmp" sheetId="10" r:id="rId4"/>
    <sheet name="ModVer" sheetId="12" r:id="rId5"/>
    <sheet name="PlanMej" sheetId="4" r:id="rId6"/>
    <sheet name="MappEV" sheetId="23" r:id="rId7"/>
    <sheet name="MappPM" sheetId="18" r:id="rId8"/>
    <sheet name="Info1" sheetId="11" r:id="rId9"/>
    <sheet name="Info2" sheetId="13" r:id="rId10"/>
    <sheet name="Fases" sheetId="19" r:id="rId11"/>
    <sheet name="Graf1" sheetId="24" r:id="rId12"/>
    <sheet name="Graf2" sheetId="25" r:id="rId13"/>
    <sheet name="Graf3" sheetId="26" r:id="rId14"/>
  </sheets>
  <definedNames>
    <definedName name="_xlnm._FilterDatabase" localSheetId="6" hidden="1">MappEV!$A$1:$E$61</definedName>
    <definedName name="_xlnm._FilterDatabase" localSheetId="5" hidden="1">PlanMej!$D$3:$T$35</definedName>
    <definedName name="_xlnm._FilterDatabase" localSheetId="1" hidden="1">RegEv!$D$3:$J$31</definedName>
    <definedName name="_xlnm._FilterDatabase" localSheetId="2" hidden="1">TablaEst!$A$1:$H$67</definedName>
    <definedName name="_xlnm.Print_Area" localSheetId="2">TablaEst!$J$1:$S$73</definedName>
    <definedName name="_xlnm.Print_Titles" localSheetId="2">TablaEst!$1:$7</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2" i="18" l="1"/>
  <c r="A3" i="18"/>
  <c r="A4" i="18"/>
  <c r="A5" i="18"/>
  <c r="A6" i="18"/>
  <c r="A7" i="18"/>
  <c r="A8" i="18"/>
  <c r="A9" i="18"/>
  <c r="A10" i="18"/>
  <c r="A11" i="18"/>
  <c r="A12" i="18"/>
  <c r="A13" i="18"/>
  <c r="A14" i="18"/>
  <c r="A15" i="18"/>
  <c r="A16" i="18"/>
  <c r="A17" i="18"/>
  <c r="A18" i="18"/>
  <c r="A19" i="18"/>
  <c r="A20" i="18"/>
  <c r="A21" i="18"/>
  <c r="A22" i="18"/>
  <c r="A23" i="18"/>
  <c r="A24" i="18"/>
  <c r="A25" i="18"/>
  <c r="A26" i="18"/>
  <c r="A27" i="18"/>
  <c r="A28" i="18"/>
  <c r="A29" i="18"/>
  <c r="A30" i="18"/>
  <c r="A31" i="18"/>
  <c r="A32" i="18"/>
  <c r="A33" i="18"/>
  <c r="S35" i="4"/>
  <c r="S34" i="4"/>
  <c r="S33" i="4"/>
  <c r="S32" i="4"/>
  <c r="S31" i="4"/>
  <c r="S30" i="4"/>
  <c r="S29" i="4"/>
  <c r="S28" i="4"/>
  <c r="S27" i="4"/>
  <c r="S26" i="4"/>
  <c r="S25" i="4"/>
  <c r="S24" i="4"/>
  <c r="S23" i="4"/>
  <c r="S22" i="4"/>
  <c r="S21" i="4"/>
  <c r="S20" i="4"/>
  <c r="S19" i="4"/>
  <c r="S18" i="4"/>
  <c r="S17" i="4"/>
  <c r="S16" i="4"/>
  <c r="S15" i="4"/>
  <c r="S14" i="4"/>
  <c r="S13" i="4"/>
  <c r="I20" i="1" s="1"/>
  <c r="J20" i="1" s="1"/>
  <c r="S12" i="4"/>
  <c r="S11" i="4"/>
  <c r="S10" i="4"/>
  <c r="S9" i="4"/>
  <c r="S8" i="4"/>
  <c r="S7" i="4"/>
  <c r="S6" i="4"/>
  <c r="S5" i="4"/>
  <c r="S4" i="4"/>
  <c r="H20" i="1"/>
  <c r="J1" i="9"/>
  <c r="L1" i="10"/>
  <c r="V8" i="2" l="1"/>
  <c r="W8" i="2" s="1"/>
  <c r="X8" i="2" s="1"/>
  <c r="V10" i="2"/>
  <c r="W10" i="2" s="1"/>
  <c r="V11" i="2"/>
  <c r="W11" i="2" s="1"/>
  <c r="X11" i="2" s="1"/>
  <c r="AK11" i="2" s="1"/>
  <c r="V13" i="2"/>
  <c r="W13" i="2" s="1"/>
  <c r="V9" i="2"/>
  <c r="W9" i="2" s="1"/>
  <c r="X9" i="2" s="1"/>
  <c r="AK9" i="2" s="1"/>
  <c r="V12" i="2"/>
  <c r="W12" i="2" s="1"/>
  <c r="V14" i="2"/>
  <c r="W14" i="2" s="1"/>
  <c r="X14" i="2" s="1"/>
  <c r="AK14" i="2" s="1"/>
  <c r="V15" i="2"/>
  <c r="W15" i="2" s="1"/>
  <c r="V16" i="2"/>
  <c r="W16" i="2" s="1"/>
  <c r="V17" i="2"/>
  <c r="W17" i="2" s="1"/>
  <c r="V18" i="2"/>
  <c r="W18" i="2" s="1"/>
  <c r="V19" i="2"/>
  <c r="W19" i="2" s="1"/>
  <c r="V20" i="2"/>
  <c r="W20" i="2" s="1"/>
  <c r="V21" i="2"/>
  <c r="W21" i="2" s="1"/>
  <c r="V22" i="2"/>
  <c r="W22" i="2" s="1"/>
  <c r="X22" i="2" s="1"/>
  <c r="AK22" i="2" s="1"/>
  <c r="V23" i="2"/>
  <c r="W23" i="2" s="1"/>
  <c r="V24" i="2"/>
  <c r="W24" i="2" s="1"/>
  <c r="V25" i="2"/>
  <c r="W25" i="2" s="1"/>
  <c r="V26" i="2"/>
  <c r="W26" i="2" s="1"/>
  <c r="X26" i="2" s="1"/>
  <c r="AK26" i="2" s="1"/>
  <c r="V27" i="2"/>
  <c r="W27" i="2" s="1"/>
  <c r="V28" i="2"/>
  <c r="W28" i="2" s="1"/>
  <c r="X28" i="2" s="1"/>
  <c r="AK28" i="2" s="1"/>
  <c r="V29" i="2"/>
  <c r="W29" i="2" s="1"/>
  <c r="V30" i="2"/>
  <c r="W30" i="2" s="1"/>
  <c r="X30" i="2" s="1"/>
  <c r="V31" i="2"/>
  <c r="W31" i="2" s="1"/>
  <c r="V32" i="2"/>
  <c r="W32" i="2" s="1"/>
  <c r="X32" i="2" s="1"/>
  <c r="AK32" i="2" s="1"/>
  <c r="V33" i="2"/>
  <c r="W33" i="2" s="1"/>
  <c r="V34" i="2"/>
  <c r="W34" i="2" s="1"/>
  <c r="V35" i="2"/>
  <c r="W35" i="2" s="1"/>
  <c r="V36" i="2"/>
  <c r="W36" i="2" s="1"/>
  <c r="X36" i="2" s="1"/>
  <c r="AK36" i="2" s="1"/>
  <c r="V37" i="2"/>
  <c r="W37" i="2" s="1"/>
  <c r="V38" i="2"/>
  <c r="W38" i="2" s="1"/>
  <c r="X38" i="2" s="1"/>
  <c r="AK38" i="2" s="1"/>
  <c r="V39" i="2"/>
  <c r="W39" i="2" s="1"/>
  <c r="V40" i="2"/>
  <c r="W40" i="2" s="1"/>
  <c r="X40" i="2" s="1"/>
  <c r="AK40" i="2" s="1"/>
  <c r="V41" i="2"/>
  <c r="W41" i="2" s="1"/>
  <c r="V42" i="2"/>
  <c r="W42" i="2" s="1"/>
  <c r="X42" i="2" s="1"/>
  <c r="AK42" i="2" s="1"/>
  <c r="V43" i="2"/>
  <c r="W43" i="2" s="1"/>
  <c r="V44" i="2"/>
  <c r="W44" i="2" s="1"/>
  <c r="X44" i="2" s="1"/>
  <c r="AK44" i="2" s="1"/>
  <c r="V45" i="2"/>
  <c r="W45" i="2" s="1"/>
  <c r="V46" i="2"/>
  <c r="W46" i="2" s="1"/>
  <c r="X46" i="2" s="1"/>
  <c r="AK46" i="2" s="1"/>
  <c r="V47" i="2"/>
  <c r="W47" i="2" s="1"/>
  <c r="V48" i="2"/>
  <c r="W48" i="2" s="1"/>
  <c r="X48" i="2" s="1"/>
  <c r="V49" i="2"/>
  <c r="W49" i="2" s="1"/>
  <c r="V50" i="2"/>
  <c r="W50" i="2" s="1"/>
  <c r="V51" i="2"/>
  <c r="W51" i="2" s="1"/>
  <c r="V52" i="2"/>
  <c r="W52" i="2" s="1"/>
  <c r="X52" i="2" s="1"/>
  <c r="AK52" i="2" s="1"/>
  <c r="V53" i="2"/>
  <c r="W53" i="2" s="1"/>
  <c r="V54" i="2"/>
  <c r="W54" i="2" s="1"/>
  <c r="X54" i="2" s="1"/>
  <c r="AK54" i="2" s="1"/>
  <c r="V55" i="2"/>
  <c r="W55" i="2" s="1"/>
  <c r="V56" i="2"/>
  <c r="W56" i="2" s="1"/>
  <c r="X56" i="2" s="1"/>
  <c r="AK56" i="2" s="1"/>
  <c r="V57" i="2"/>
  <c r="W57" i="2" s="1"/>
  <c r="V58" i="2"/>
  <c r="W58" i="2" s="1"/>
  <c r="X58" i="2" s="1"/>
  <c r="AK58" i="2" s="1"/>
  <c r="V59" i="2"/>
  <c r="W59" i="2" s="1"/>
  <c r="V60" i="2"/>
  <c r="W60" i="2" s="1"/>
  <c r="X60" i="2" s="1"/>
  <c r="AK60" i="2" s="1"/>
  <c r="V61" i="2"/>
  <c r="W61" i="2" s="1"/>
  <c r="V62" i="2"/>
  <c r="W62" i="2" s="1"/>
  <c r="X62" i="2" s="1"/>
  <c r="AK62" i="2" s="1"/>
  <c r="V63" i="2"/>
  <c r="W63" i="2" s="1"/>
  <c r="V64" i="2"/>
  <c r="W64" i="2" s="1"/>
  <c r="X64" i="2" s="1"/>
  <c r="AK64" i="2" s="1"/>
  <c r="V65" i="2"/>
  <c r="W65" i="2" s="1"/>
  <c r="V66" i="2"/>
  <c r="W66" i="2" s="1"/>
  <c r="V67" i="2"/>
  <c r="W67" i="2" s="1"/>
  <c r="H1" i="4"/>
  <c r="D6" i="19"/>
  <c r="C18" i="19" s="1"/>
  <c r="J1" i="4"/>
  <c r="AD3" i="4"/>
  <c r="AP67" i="2"/>
  <c r="AP66" i="2"/>
  <c r="AP65" i="2"/>
  <c r="AP64" i="2"/>
  <c r="AP63" i="2"/>
  <c r="AP62" i="2"/>
  <c r="AP61" i="2"/>
  <c r="AP60" i="2"/>
  <c r="AP59" i="2"/>
  <c r="AP58" i="2"/>
  <c r="AP57" i="2"/>
  <c r="AP56" i="2"/>
  <c r="AP55" i="2"/>
  <c r="AP54" i="2"/>
  <c r="AP53" i="2"/>
  <c r="AP52" i="2"/>
  <c r="AP51" i="2"/>
  <c r="AP50" i="2"/>
  <c r="AP49" i="2"/>
  <c r="AP48" i="2"/>
  <c r="AP47" i="2"/>
  <c r="AP46" i="2"/>
  <c r="AP45" i="2"/>
  <c r="AP44" i="2"/>
  <c r="AP43" i="2"/>
  <c r="AP42" i="2"/>
  <c r="AP41" i="2"/>
  <c r="AP40" i="2"/>
  <c r="AP39" i="2"/>
  <c r="AP38" i="2"/>
  <c r="AP37" i="2"/>
  <c r="AP36" i="2"/>
  <c r="AP35" i="2"/>
  <c r="AP34" i="2"/>
  <c r="AP33" i="2"/>
  <c r="AP32" i="2"/>
  <c r="AP31" i="2"/>
  <c r="AP30" i="2"/>
  <c r="AP29" i="2"/>
  <c r="AP28" i="2"/>
  <c r="AP27" i="2"/>
  <c r="AP26" i="2"/>
  <c r="AP25" i="2"/>
  <c r="AP24" i="2"/>
  <c r="AP23" i="2"/>
  <c r="AP22" i="2"/>
  <c r="AP21" i="2"/>
  <c r="AP20" i="2"/>
  <c r="AP19" i="2"/>
  <c r="AP18" i="2"/>
  <c r="AP17" i="2"/>
  <c r="AP16" i="2"/>
  <c r="AP15" i="2"/>
  <c r="AP14" i="2"/>
  <c r="AP13" i="2"/>
  <c r="AP12" i="2"/>
  <c r="AP11" i="2"/>
  <c r="AP10" i="2"/>
  <c r="AP9" i="2"/>
  <c r="AP8" i="2"/>
  <c r="A1" i="1"/>
  <c r="K200" i="1" s="1"/>
  <c r="Q21" i="1"/>
  <c r="Q27" i="1"/>
  <c r="Q26" i="1"/>
  <c r="Q25" i="1"/>
  <c r="Q24" i="1"/>
  <c r="Q23" i="1"/>
  <c r="Q22" i="1"/>
  <c r="Q20" i="1"/>
  <c r="AG2" i="19"/>
  <c r="AP4" i="2"/>
  <c r="AO4" i="2"/>
  <c r="A3" i="4"/>
  <c r="AA3" i="4" s="1"/>
  <c r="AL67" i="2"/>
  <c r="AL66" i="2"/>
  <c r="AL65" i="2"/>
  <c r="AL64" i="2"/>
  <c r="AL63" i="2"/>
  <c r="AL62" i="2"/>
  <c r="AL61" i="2"/>
  <c r="AL60" i="2"/>
  <c r="AL59" i="2"/>
  <c r="AL58" i="2"/>
  <c r="AL57" i="2"/>
  <c r="AL56" i="2"/>
  <c r="AL55" i="2"/>
  <c r="AL54" i="2"/>
  <c r="AL53" i="2"/>
  <c r="AL52" i="2"/>
  <c r="AL51" i="2"/>
  <c r="AL50" i="2"/>
  <c r="AL49" i="2"/>
  <c r="AL48" i="2"/>
  <c r="AL47" i="2"/>
  <c r="AL46" i="2"/>
  <c r="AL45" i="2"/>
  <c r="AL44" i="2"/>
  <c r="AL43" i="2"/>
  <c r="AL42" i="2"/>
  <c r="AL41" i="2"/>
  <c r="AL40" i="2"/>
  <c r="AL39" i="2"/>
  <c r="AL38" i="2"/>
  <c r="AL37" i="2"/>
  <c r="AL36" i="2"/>
  <c r="AL35" i="2"/>
  <c r="AL34" i="2"/>
  <c r="AL33" i="2"/>
  <c r="AL32" i="2"/>
  <c r="AL31" i="2"/>
  <c r="AL30" i="2"/>
  <c r="AL29" i="2"/>
  <c r="AL28" i="2"/>
  <c r="AL27" i="2"/>
  <c r="AL26" i="2"/>
  <c r="AL25" i="2"/>
  <c r="AL24" i="2"/>
  <c r="AL23" i="2"/>
  <c r="AL22" i="2"/>
  <c r="AL21" i="2"/>
  <c r="AL20" i="2"/>
  <c r="AL19" i="2"/>
  <c r="AL18" i="2"/>
  <c r="AL17" i="2"/>
  <c r="AL16" i="2"/>
  <c r="AL15" i="2"/>
  <c r="AL14" i="2"/>
  <c r="AL13" i="2"/>
  <c r="AL12" i="2"/>
  <c r="AL11" i="2"/>
  <c r="AL10" i="2"/>
  <c r="AL9" i="2"/>
  <c r="S6" i="1"/>
  <c r="S4" i="1"/>
  <c r="S8" i="1"/>
  <c r="AW14" i="2"/>
  <c r="AL8" i="2"/>
  <c r="G3" i="13"/>
  <c r="M3" i="13" s="1"/>
  <c r="F3" i="13"/>
  <c r="L3" i="13" s="1"/>
  <c r="E3" i="13"/>
  <c r="K3" i="13" s="1"/>
  <c r="D3" i="13"/>
  <c r="J3" i="13" s="1"/>
  <c r="G2" i="13"/>
  <c r="F2" i="13"/>
  <c r="F9" i="13" s="1"/>
  <c r="L9" i="13" s="1"/>
  <c r="E2" i="13"/>
  <c r="D2" i="13"/>
  <c r="D19" i="13" s="1"/>
  <c r="J19" i="13" s="1"/>
  <c r="C3" i="13"/>
  <c r="I3" i="13" s="1"/>
  <c r="C2" i="13"/>
  <c r="C24" i="13" s="1"/>
  <c r="I24" i="13" s="1"/>
  <c r="G15" i="13"/>
  <c r="G22" i="13" s="1"/>
  <c r="F15" i="13"/>
  <c r="F22" i="13"/>
  <c r="E6" i="13"/>
  <c r="K6" i="13" s="1"/>
  <c r="E16" i="13"/>
  <c r="K16" i="13" s="1"/>
  <c r="E23" i="13"/>
  <c r="K23" i="13" s="1"/>
  <c r="K2" i="13"/>
  <c r="K15" i="13"/>
  <c r="K22" i="13" s="1"/>
  <c r="D15" i="13"/>
  <c r="D22" i="13" s="1"/>
  <c r="E15" i="13"/>
  <c r="E22" i="13"/>
  <c r="I2" i="13"/>
  <c r="F10" i="13"/>
  <c r="L10" i="13" s="1"/>
  <c r="M2" i="13"/>
  <c r="M15" i="13" s="1"/>
  <c r="M22" i="13" s="1"/>
  <c r="D7" i="13"/>
  <c r="J7" i="13" s="1"/>
  <c r="G9" i="13"/>
  <c r="M9" i="13" s="1"/>
  <c r="D5" i="13"/>
  <c r="J5" i="13" s="1"/>
  <c r="G11" i="13"/>
  <c r="M11" i="13" s="1"/>
  <c r="G16" i="13"/>
  <c r="M16" i="13" s="1"/>
  <c r="C3" i="11"/>
  <c r="C6" i="11" s="1"/>
  <c r="E6" i="11" s="1"/>
  <c r="C2" i="11"/>
  <c r="C5" i="13"/>
  <c r="I5" i="13" s="1"/>
  <c r="C19" i="11"/>
  <c r="E19" i="11" s="1"/>
  <c r="S2" i="1"/>
  <c r="Q12" i="1"/>
  <c r="Q11" i="1"/>
  <c r="Q10" i="1"/>
  <c r="Q9" i="1"/>
  <c r="Q8" i="1"/>
  <c r="Q7" i="1"/>
  <c r="BD67" i="2"/>
  <c r="BC67" i="2"/>
  <c r="BB67" i="2"/>
  <c r="BD66" i="2"/>
  <c r="BC66" i="2"/>
  <c r="BB66" i="2"/>
  <c r="BD65" i="2"/>
  <c r="BC65" i="2"/>
  <c r="BB65" i="2"/>
  <c r="BD64" i="2"/>
  <c r="BC64" i="2"/>
  <c r="BB64" i="2"/>
  <c r="BD63" i="2"/>
  <c r="BC63" i="2"/>
  <c r="BB63" i="2"/>
  <c r="BD62" i="2"/>
  <c r="BC62" i="2"/>
  <c r="BB62" i="2"/>
  <c r="BD61" i="2"/>
  <c r="BC61" i="2"/>
  <c r="BB61" i="2"/>
  <c r="BD60" i="2"/>
  <c r="BC60" i="2"/>
  <c r="BB60" i="2"/>
  <c r="BD59" i="2"/>
  <c r="BC59" i="2"/>
  <c r="BB59" i="2"/>
  <c r="BD58" i="2"/>
  <c r="BC58" i="2"/>
  <c r="BB58" i="2"/>
  <c r="BD57" i="2"/>
  <c r="BC57" i="2"/>
  <c r="BB57" i="2"/>
  <c r="BD56" i="2"/>
  <c r="BC56" i="2"/>
  <c r="BB56" i="2"/>
  <c r="BD55" i="2"/>
  <c r="BC55" i="2"/>
  <c r="BB55" i="2"/>
  <c r="BD54" i="2"/>
  <c r="BC54" i="2"/>
  <c r="BB54" i="2"/>
  <c r="BD53" i="2"/>
  <c r="BC53" i="2"/>
  <c r="BB53" i="2"/>
  <c r="BD52" i="2"/>
  <c r="BC52" i="2"/>
  <c r="BB52" i="2"/>
  <c r="BD51" i="2"/>
  <c r="BC51" i="2"/>
  <c r="BB51" i="2"/>
  <c r="BD50" i="2"/>
  <c r="BC50" i="2"/>
  <c r="BB50" i="2"/>
  <c r="BD49" i="2"/>
  <c r="BC49" i="2"/>
  <c r="BB49" i="2"/>
  <c r="BD48" i="2"/>
  <c r="BC48" i="2"/>
  <c r="BB48" i="2"/>
  <c r="BD47" i="2"/>
  <c r="BC47" i="2"/>
  <c r="BB47" i="2"/>
  <c r="BD46" i="2"/>
  <c r="BC46" i="2"/>
  <c r="BB46" i="2"/>
  <c r="BD45" i="2"/>
  <c r="BC45" i="2"/>
  <c r="BB45" i="2"/>
  <c r="BD44" i="2"/>
  <c r="BC44" i="2"/>
  <c r="BB44" i="2"/>
  <c r="BD43" i="2"/>
  <c r="BC43" i="2"/>
  <c r="BB43" i="2"/>
  <c r="BD42" i="2"/>
  <c r="BC42" i="2"/>
  <c r="BB42" i="2"/>
  <c r="BD41" i="2"/>
  <c r="BC41" i="2"/>
  <c r="BB41" i="2"/>
  <c r="BD40" i="2"/>
  <c r="BC40" i="2"/>
  <c r="BB40" i="2"/>
  <c r="BD39" i="2"/>
  <c r="BC39" i="2"/>
  <c r="BB39" i="2"/>
  <c r="BD38" i="2"/>
  <c r="BC38" i="2"/>
  <c r="BB38" i="2"/>
  <c r="BD37" i="2"/>
  <c r="BC37" i="2"/>
  <c r="BB37" i="2"/>
  <c r="BD36" i="2"/>
  <c r="BC36" i="2"/>
  <c r="BB36" i="2"/>
  <c r="BD35" i="2"/>
  <c r="BC35" i="2"/>
  <c r="BB35" i="2"/>
  <c r="BD34" i="2"/>
  <c r="BC34" i="2"/>
  <c r="BB34" i="2"/>
  <c r="BD33" i="2"/>
  <c r="BC33" i="2"/>
  <c r="BB33" i="2"/>
  <c r="BD32" i="2"/>
  <c r="BC32" i="2"/>
  <c r="BB32" i="2"/>
  <c r="BD31" i="2"/>
  <c r="BC31" i="2"/>
  <c r="BB31" i="2"/>
  <c r="BD30" i="2"/>
  <c r="BC30" i="2"/>
  <c r="BB30" i="2"/>
  <c r="BD29" i="2"/>
  <c r="BC29" i="2"/>
  <c r="BB29" i="2"/>
  <c r="BD28" i="2"/>
  <c r="BC28" i="2"/>
  <c r="BB28" i="2"/>
  <c r="BD27" i="2"/>
  <c r="BC27" i="2"/>
  <c r="BB27" i="2"/>
  <c r="BD26" i="2"/>
  <c r="BC26" i="2"/>
  <c r="BB26" i="2"/>
  <c r="BD25" i="2"/>
  <c r="BC25" i="2"/>
  <c r="BB25" i="2"/>
  <c r="BD24" i="2"/>
  <c r="BC24" i="2"/>
  <c r="BB24" i="2"/>
  <c r="BD23" i="2"/>
  <c r="BC23" i="2"/>
  <c r="BB23" i="2"/>
  <c r="BD22" i="2"/>
  <c r="BC22" i="2"/>
  <c r="BB22" i="2"/>
  <c r="BD21" i="2"/>
  <c r="BC21" i="2"/>
  <c r="BB21" i="2"/>
  <c r="BD20" i="2"/>
  <c r="BC20" i="2"/>
  <c r="BB20" i="2"/>
  <c r="BD19" i="2"/>
  <c r="BC19" i="2"/>
  <c r="BB19" i="2"/>
  <c r="BD18" i="2"/>
  <c r="BC18" i="2"/>
  <c r="BB18" i="2"/>
  <c r="BD17" i="2"/>
  <c r="BC17" i="2"/>
  <c r="BB17" i="2"/>
  <c r="BD16" i="2"/>
  <c r="BC16" i="2"/>
  <c r="BB16" i="2"/>
  <c r="BD15" i="2"/>
  <c r="BC15" i="2"/>
  <c r="BB15" i="2"/>
  <c r="BD14" i="2"/>
  <c r="BC14" i="2"/>
  <c r="BB14" i="2"/>
  <c r="BD13" i="2"/>
  <c r="BC13" i="2"/>
  <c r="BB13" i="2"/>
  <c r="BD12" i="2"/>
  <c r="BC12" i="2"/>
  <c r="BB12" i="2"/>
  <c r="BD11" i="2"/>
  <c r="BC11" i="2"/>
  <c r="BB11" i="2"/>
  <c r="BD10" i="2"/>
  <c r="BC10" i="2"/>
  <c r="BB10" i="2"/>
  <c r="BD9" i="2"/>
  <c r="BC9" i="2"/>
  <c r="BB9" i="2"/>
  <c r="BD8" i="2"/>
  <c r="BC8" i="2"/>
  <c r="BB8" i="2"/>
  <c r="R2" i="1"/>
  <c r="T10" i="1"/>
  <c r="T8" i="1"/>
  <c r="S10" i="1"/>
  <c r="T6" i="1"/>
  <c r="R6" i="1"/>
  <c r="T4" i="1"/>
  <c r="R4" i="1"/>
  <c r="S3" i="2"/>
  <c r="AE8" i="2" s="1"/>
  <c r="AE9" i="2" s="1"/>
  <c r="AE10" i="2" s="1"/>
  <c r="AE11" i="2" s="1"/>
  <c r="AE12" i="2" s="1"/>
  <c r="AE13" i="2" s="1"/>
  <c r="AE14" i="2" s="1"/>
  <c r="AE15" i="2" s="1"/>
  <c r="AE16" i="2" s="1"/>
  <c r="AE17" i="2" s="1"/>
  <c r="AE18" i="2" s="1"/>
  <c r="AE19" i="2" s="1"/>
  <c r="AE20" i="2" s="1"/>
  <c r="AE21" i="2" s="1"/>
  <c r="AE22" i="2" s="1"/>
  <c r="AE23" i="2" s="1"/>
  <c r="AE24" i="2" s="1"/>
  <c r="AE25" i="2" s="1"/>
  <c r="AE26" i="2" s="1"/>
  <c r="AE27" i="2" s="1"/>
  <c r="AE28" i="2" s="1"/>
  <c r="AE29" i="2" s="1"/>
  <c r="AE30" i="2" s="1"/>
  <c r="AE31" i="2" s="1"/>
  <c r="AE32" i="2" s="1"/>
  <c r="AE33" i="2" s="1"/>
  <c r="AE34" i="2" s="1"/>
  <c r="AE35" i="2" s="1"/>
  <c r="AE36" i="2" s="1"/>
  <c r="AE37" i="2" s="1"/>
  <c r="AE38" i="2" s="1"/>
  <c r="AE39" i="2" s="1"/>
  <c r="AE40" i="2" s="1"/>
  <c r="AE41" i="2" s="1"/>
  <c r="AE42" i="2" s="1"/>
  <c r="AE43" i="2" s="1"/>
  <c r="AE44" i="2" s="1"/>
  <c r="AE45" i="2" s="1"/>
  <c r="AE46" i="2" s="1"/>
  <c r="AE47" i="2" s="1"/>
  <c r="AE48" i="2" s="1"/>
  <c r="AE49" i="2" s="1"/>
  <c r="AE50" i="2" s="1"/>
  <c r="AE51" i="2" s="1"/>
  <c r="AE52" i="2" s="1"/>
  <c r="AE53" i="2" s="1"/>
  <c r="AE54" i="2" s="1"/>
  <c r="AE55" i="2" s="1"/>
  <c r="AE56" i="2" s="1"/>
  <c r="AE57" i="2" s="1"/>
  <c r="AE58" i="2" s="1"/>
  <c r="AE59" i="2" s="1"/>
  <c r="AE60" i="2" s="1"/>
  <c r="AE61" i="2" s="1"/>
  <c r="AE62" i="2" s="1"/>
  <c r="AE63" i="2" s="1"/>
  <c r="AE64" i="2" s="1"/>
  <c r="AE65" i="2" s="1"/>
  <c r="AE66" i="2" s="1"/>
  <c r="AE67" i="2" s="1"/>
  <c r="S2" i="2"/>
  <c r="AH4" i="2" s="1"/>
  <c r="P3" i="2"/>
  <c r="AG4" i="2" s="1"/>
  <c r="P2" i="2"/>
  <c r="AF4" i="2" s="1"/>
  <c r="L3" i="2"/>
  <c r="AE4" i="2" s="1"/>
  <c r="L2" i="2"/>
  <c r="AD4" i="2" s="1"/>
  <c r="O77" i="2"/>
  <c r="AK4" i="2" s="1"/>
  <c r="O76" i="2"/>
  <c r="AJ4" i="2" s="1"/>
  <c r="O75" i="2"/>
  <c r="AI4" i="2" s="1"/>
  <c r="F62" i="2"/>
  <c r="F59" i="2"/>
  <c r="F58" i="2"/>
  <c r="F57" i="2"/>
  <c r="F56" i="2"/>
  <c r="F49" i="2"/>
  <c r="F40" i="2"/>
  <c r="F39" i="2"/>
  <c r="F35" i="2"/>
  <c r="F33" i="2"/>
  <c r="F31" i="2"/>
  <c r="F30" i="2"/>
  <c r="F23" i="2"/>
  <c r="F22" i="2"/>
  <c r="F19" i="2"/>
  <c r="F16" i="2"/>
  <c r="F15" i="2"/>
  <c r="F13" i="2"/>
  <c r="F11" i="2"/>
  <c r="F10" i="2"/>
  <c r="F8" i="2"/>
  <c r="D66" i="2"/>
  <c r="D52" i="2"/>
  <c r="D49" i="2"/>
  <c r="B52" i="2"/>
  <c r="B33" i="2"/>
  <c r="B22" i="2"/>
  <c r="B16" i="2"/>
  <c r="B11" i="2"/>
  <c r="B49" i="2"/>
  <c r="B8" i="2"/>
  <c r="F8" i="13" l="1"/>
  <c r="L8" i="13" s="1"/>
  <c r="G7" i="13"/>
  <c r="M7" i="13" s="1"/>
  <c r="G5" i="13"/>
  <c r="M5" i="13" s="1"/>
  <c r="F6" i="13"/>
  <c r="L6" i="13" s="1"/>
  <c r="E5" i="13"/>
  <c r="K5" i="13" s="1"/>
  <c r="G8" i="13"/>
  <c r="M8" i="13" s="1"/>
  <c r="E19" i="13"/>
  <c r="K19" i="13" s="1"/>
  <c r="G23" i="13"/>
  <c r="M23" i="13" s="1"/>
  <c r="F18" i="13"/>
  <c r="L18" i="13" s="1"/>
  <c r="F17" i="13"/>
  <c r="L17" i="13" s="1"/>
  <c r="F5" i="13"/>
  <c r="L5" i="13" s="1"/>
  <c r="E9" i="13"/>
  <c r="K9" i="13" s="1"/>
  <c r="L2" i="13"/>
  <c r="L15" i="13" s="1"/>
  <c r="L22" i="13" s="1"/>
  <c r="F16" i="13"/>
  <c r="L16" i="13" s="1"/>
  <c r="E17" i="13"/>
  <c r="K17" i="13" s="1"/>
  <c r="D25" i="11"/>
  <c r="D26" i="11" s="1"/>
  <c r="F11" i="13"/>
  <c r="L11" i="13" s="1"/>
  <c r="F25" i="13"/>
  <c r="L25" i="13" s="1"/>
  <c r="E7" i="13"/>
  <c r="K7" i="13" s="1"/>
  <c r="G10" i="13"/>
  <c r="M10" i="13" s="1"/>
  <c r="F24" i="13"/>
  <c r="L24" i="13" s="1"/>
  <c r="E25" i="13"/>
  <c r="K25" i="13" s="1"/>
  <c r="E11" i="13"/>
  <c r="K11" i="13" s="1"/>
  <c r="E8" i="13"/>
  <c r="K8" i="13" s="1"/>
  <c r="F23" i="13"/>
  <c r="L23" i="13" s="1"/>
  <c r="E24" i="13"/>
  <c r="K24" i="13" s="1"/>
  <c r="G25" i="13"/>
  <c r="M25" i="13" s="1"/>
  <c r="G18" i="13"/>
  <c r="M18" i="13" s="1"/>
  <c r="F7" i="13"/>
  <c r="L7" i="13" s="1"/>
  <c r="F19" i="13"/>
  <c r="L19" i="13" s="1"/>
  <c r="E18" i="13"/>
  <c r="K18" i="13" s="1"/>
  <c r="G24" i="13"/>
  <c r="M24" i="13" s="1"/>
  <c r="G17" i="13"/>
  <c r="M17" i="13" s="1"/>
  <c r="G6" i="13"/>
  <c r="M6" i="13" s="1"/>
  <c r="E10" i="13"/>
  <c r="K10" i="13" s="1"/>
  <c r="G19" i="13"/>
  <c r="M19" i="13" s="1"/>
  <c r="C21" i="11"/>
  <c r="E21" i="11" s="1"/>
  <c r="C18" i="11"/>
  <c r="E18" i="11" s="1"/>
  <c r="C10" i="11"/>
  <c r="E10" i="11" s="1"/>
  <c r="C7" i="11"/>
  <c r="E7" i="11" s="1"/>
  <c r="C9" i="11"/>
  <c r="E9" i="11" s="1"/>
  <c r="C25" i="11"/>
  <c r="C20" i="11"/>
  <c r="E20" i="11" s="1"/>
  <c r="C28" i="11"/>
  <c r="C11" i="11"/>
  <c r="E11" i="11" s="1"/>
  <c r="C8" i="11"/>
  <c r="E8" i="11" s="1"/>
  <c r="C5" i="11"/>
  <c r="E5" i="11" s="1"/>
  <c r="C26" i="11"/>
  <c r="M1" i="4"/>
  <c r="U6" i="1"/>
  <c r="V6" i="1" s="1"/>
  <c r="AO8" i="2"/>
  <c r="AO9" i="2" s="1"/>
  <c r="AO10" i="2" s="1"/>
  <c r="AO11" i="2" s="1"/>
  <c r="AO12" i="2" s="1"/>
  <c r="AO13" i="2" s="1"/>
  <c r="AO14" i="2" s="1"/>
  <c r="AO15" i="2" s="1"/>
  <c r="AO16" i="2" s="1"/>
  <c r="AO17" i="2" s="1"/>
  <c r="AO18" i="2" s="1"/>
  <c r="AO19" i="2" s="1"/>
  <c r="AO20" i="2" s="1"/>
  <c r="AO21" i="2" s="1"/>
  <c r="AO22" i="2" s="1"/>
  <c r="AO23" i="2" s="1"/>
  <c r="AO24" i="2" s="1"/>
  <c r="AO25" i="2" s="1"/>
  <c r="AO26" i="2" s="1"/>
  <c r="AO27" i="2" s="1"/>
  <c r="AO28" i="2" s="1"/>
  <c r="AO29" i="2" s="1"/>
  <c r="AO30" i="2" s="1"/>
  <c r="AO31" i="2" s="1"/>
  <c r="AO32" i="2" s="1"/>
  <c r="AO33" i="2" s="1"/>
  <c r="AO34" i="2" s="1"/>
  <c r="AO35" i="2" s="1"/>
  <c r="AO36" i="2" s="1"/>
  <c r="AO37" i="2" s="1"/>
  <c r="AO38" i="2" s="1"/>
  <c r="AO39" i="2" s="1"/>
  <c r="AO40" i="2" s="1"/>
  <c r="AO41" i="2" s="1"/>
  <c r="AO42" i="2" s="1"/>
  <c r="AO43" i="2" s="1"/>
  <c r="AO44" i="2" s="1"/>
  <c r="AO45" i="2" s="1"/>
  <c r="AO46" i="2" s="1"/>
  <c r="AO47" i="2" s="1"/>
  <c r="AO48" i="2" s="1"/>
  <c r="AO49" i="2" s="1"/>
  <c r="AO50" i="2" s="1"/>
  <c r="AO51" i="2" s="1"/>
  <c r="AO52" i="2" s="1"/>
  <c r="AO53" i="2" s="1"/>
  <c r="AO54" i="2" s="1"/>
  <c r="AO55" i="2" s="1"/>
  <c r="AO56" i="2" s="1"/>
  <c r="AO57" i="2" s="1"/>
  <c r="AO58" i="2" s="1"/>
  <c r="AO59" i="2" s="1"/>
  <c r="AO60" i="2" s="1"/>
  <c r="AO61" i="2" s="1"/>
  <c r="AO62" i="2" s="1"/>
  <c r="AO63" i="2" s="1"/>
  <c r="AO64" i="2" s="1"/>
  <c r="AO65" i="2" s="1"/>
  <c r="AO66" i="2" s="1"/>
  <c r="AO67" i="2" s="1"/>
  <c r="AJ30" i="2"/>
  <c r="AN30" i="2" s="1"/>
  <c r="AK8" i="2"/>
  <c r="D6" i="13"/>
  <c r="D17" i="13"/>
  <c r="J17" i="13" s="1"/>
  <c r="D16" i="13"/>
  <c r="J16" i="13" s="1"/>
  <c r="D10" i="13"/>
  <c r="J10" i="13" s="1"/>
  <c r="D23" i="13"/>
  <c r="J23" i="13" s="1"/>
  <c r="D8" i="13"/>
  <c r="J8" i="13" s="1"/>
  <c r="D24" i="13"/>
  <c r="J24" i="13" s="1"/>
  <c r="D9" i="13"/>
  <c r="J9" i="13" s="1"/>
  <c r="D18" i="13"/>
  <c r="J18" i="13" s="1"/>
  <c r="I15" i="13"/>
  <c r="I22" i="13" s="1"/>
  <c r="C11" i="13"/>
  <c r="I11" i="13" s="1"/>
  <c r="C23" i="13"/>
  <c r="I23" i="13" s="1"/>
  <c r="C10" i="13"/>
  <c r="I10" i="13" s="1"/>
  <c r="C15" i="13"/>
  <c r="C22" i="13" s="1"/>
  <c r="C8" i="13"/>
  <c r="I8" i="13" s="1"/>
  <c r="C9" i="13"/>
  <c r="I9" i="13" s="1"/>
  <c r="C6" i="13"/>
  <c r="I6" i="13" s="1"/>
  <c r="C25" i="13"/>
  <c r="I25" i="13" s="1"/>
  <c r="C17" i="13"/>
  <c r="I17" i="13" s="1"/>
  <c r="C7" i="13"/>
  <c r="I7" i="13" s="1"/>
  <c r="C18" i="13"/>
  <c r="I18" i="13" s="1"/>
  <c r="C16" i="13"/>
  <c r="I16" i="13" s="1"/>
  <c r="C19" i="13"/>
  <c r="I19" i="13" s="1"/>
  <c r="D11" i="13"/>
  <c r="J11" i="13" s="1"/>
  <c r="J2" i="13"/>
  <c r="J15" i="13" s="1"/>
  <c r="J22" i="13" s="1"/>
  <c r="D25" i="13"/>
  <c r="J25" i="13" s="1"/>
  <c r="AJ8" i="2"/>
  <c r="AN8" i="2" s="1"/>
  <c r="AJ40" i="2"/>
  <c r="AN40" i="2" s="1"/>
  <c r="AJ56" i="2"/>
  <c r="AN56" i="2" s="1"/>
  <c r="AJ36" i="2"/>
  <c r="AN36" i="2" s="1"/>
  <c r="AJ48" i="2"/>
  <c r="AN48" i="2" s="1"/>
  <c r="AJ62" i="2"/>
  <c r="AN62" i="2" s="1"/>
  <c r="AJ52" i="2"/>
  <c r="AN52" i="2" s="1"/>
  <c r="AJ11" i="2"/>
  <c r="AN11" i="2" s="1"/>
  <c r="AC3" i="4"/>
  <c r="AC4" i="2"/>
  <c r="AD8" i="2"/>
  <c r="AD9" i="2" s="1"/>
  <c r="AD10" i="2" s="1"/>
  <c r="AD11" i="2" s="1"/>
  <c r="AD12" i="2" s="1"/>
  <c r="AD13" i="2" s="1"/>
  <c r="AD14" i="2" s="1"/>
  <c r="AD15" i="2" s="1"/>
  <c r="AD16" i="2" s="1"/>
  <c r="AD17" i="2" s="1"/>
  <c r="AD18" i="2" s="1"/>
  <c r="AD19" i="2" s="1"/>
  <c r="AD20" i="2" s="1"/>
  <c r="AD21" i="2" s="1"/>
  <c r="AD22" i="2" s="1"/>
  <c r="AD23" i="2" s="1"/>
  <c r="AD24" i="2" s="1"/>
  <c r="AD25" i="2" s="1"/>
  <c r="AD26" i="2" s="1"/>
  <c r="AD27" i="2" s="1"/>
  <c r="AD28" i="2" s="1"/>
  <c r="AD29" i="2" s="1"/>
  <c r="AD30" i="2" s="1"/>
  <c r="AD31" i="2" s="1"/>
  <c r="AD32" i="2" s="1"/>
  <c r="AD33" i="2" s="1"/>
  <c r="AD34" i="2" s="1"/>
  <c r="AD35" i="2" s="1"/>
  <c r="AD36" i="2" s="1"/>
  <c r="AD37" i="2" s="1"/>
  <c r="AD38" i="2" s="1"/>
  <c r="AD39" i="2" s="1"/>
  <c r="AD40" i="2" s="1"/>
  <c r="AD41" i="2" s="1"/>
  <c r="AD42" i="2" s="1"/>
  <c r="AD43" i="2" s="1"/>
  <c r="AD44" i="2" s="1"/>
  <c r="AD45" i="2" s="1"/>
  <c r="AD46" i="2" s="1"/>
  <c r="AD47" i="2" s="1"/>
  <c r="AD48" i="2" s="1"/>
  <c r="AD49" i="2" s="1"/>
  <c r="AD50" i="2" s="1"/>
  <c r="AD51" i="2" s="1"/>
  <c r="AD52" i="2" s="1"/>
  <c r="AD53" i="2" s="1"/>
  <c r="AD54" i="2" s="1"/>
  <c r="AD55" i="2" s="1"/>
  <c r="AD56" i="2" s="1"/>
  <c r="AD57" i="2" s="1"/>
  <c r="AD58" i="2" s="1"/>
  <c r="AD59" i="2" s="1"/>
  <c r="AD60" i="2" s="1"/>
  <c r="AD61" i="2" s="1"/>
  <c r="AD62" i="2" s="1"/>
  <c r="AD63" i="2" s="1"/>
  <c r="AD64" i="2" s="1"/>
  <c r="AD65" i="2" s="1"/>
  <c r="AD66" i="2" s="1"/>
  <c r="AD67" i="2" s="1"/>
  <c r="AD68" i="2" s="1"/>
  <c r="AD69" i="2" s="1"/>
  <c r="AD70" i="2" s="1"/>
  <c r="AD71" i="2" s="1"/>
  <c r="AB3" i="4"/>
  <c r="AJ32" i="2"/>
  <c r="AN32" i="2" s="1"/>
  <c r="BG49" i="2"/>
  <c r="M49" i="2" s="1"/>
  <c r="Y49" i="2" s="1"/>
  <c r="AM49" i="2" s="1"/>
  <c r="J6" i="13"/>
  <c r="E12" i="13"/>
  <c r="K12" i="13" s="1"/>
  <c r="AJ58" i="2"/>
  <c r="AN58" i="2" s="1"/>
  <c r="AJ22" i="2"/>
  <c r="AN22" i="2" s="1"/>
  <c r="AJ64" i="2"/>
  <c r="AN64" i="2" s="1"/>
  <c r="AJ46" i="2"/>
  <c r="AN46" i="2" s="1"/>
  <c r="AJ60" i="2"/>
  <c r="AN60" i="2" s="1"/>
  <c r="AJ44" i="2"/>
  <c r="AN44" i="2" s="1"/>
  <c r="AJ42" i="2"/>
  <c r="AN42" i="2" s="1"/>
  <c r="AJ28" i="2"/>
  <c r="AN28" i="2" s="1"/>
  <c r="AJ26" i="2"/>
  <c r="AN26" i="2" s="1"/>
  <c r="U8" i="1"/>
  <c r="V8" i="1" s="1"/>
  <c r="X25" i="2"/>
  <c r="AK25" i="2" s="1"/>
  <c r="AJ25" i="2"/>
  <c r="AN25" i="2" s="1"/>
  <c r="AJ54" i="2"/>
  <c r="AN54" i="2" s="1"/>
  <c r="AJ38" i="2"/>
  <c r="AN38" i="2" s="1"/>
  <c r="AJ14" i="2"/>
  <c r="AN14" i="2" s="1"/>
  <c r="W69" i="2"/>
  <c r="AJ9" i="2"/>
  <c r="AN9" i="2" s="1"/>
  <c r="V68" i="2"/>
  <c r="V69" i="2" s="1"/>
  <c r="W68" i="2"/>
  <c r="X10" i="2"/>
  <c r="AK10" i="2" s="1"/>
  <c r="AJ10" i="2"/>
  <c r="AN10" i="2" s="1"/>
  <c r="X57" i="2"/>
  <c r="AK57" i="2" s="1"/>
  <c r="AJ57" i="2"/>
  <c r="AN57" i="2" s="1"/>
  <c r="X67" i="2"/>
  <c r="AK67" i="2" s="1"/>
  <c r="AJ67" i="2"/>
  <c r="AN67" i="2" s="1"/>
  <c r="X41" i="2"/>
  <c r="AK41" i="2" s="1"/>
  <c r="AJ41" i="2"/>
  <c r="AN41" i="2" s="1"/>
  <c r="X65" i="2"/>
  <c r="AK65" i="2" s="1"/>
  <c r="AJ65" i="2"/>
  <c r="AN65" i="2" s="1"/>
  <c r="X49" i="2"/>
  <c r="AK49" i="2" s="1"/>
  <c r="AJ49" i="2"/>
  <c r="AN49" i="2" s="1"/>
  <c r="X33" i="2"/>
  <c r="AK33" i="2" s="1"/>
  <c r="AJ33" i="2"/>
  <c r="AN33" i="2" s="1"/>
  <c r="X17" i="2"/>
  <c r="AK17" i="2" s="1"/>
  <c r="AJ17" i="2"/>
  <c r="AN17" i="2" s="1"/>
  <c r="D1" i="2"/>
  <c r="F1" i="2"/>
  <c r="AS26" i="19"/>
  <c r="C17" i="19" s="1"/>
  <c r="X53" i="2"/>
  <c r="AK53" i="2" s="1"/>
  <c r="AJ53" i="2"/>
  <c r="AN53" i="2" s="1"/>
  <c r="X35" i="2"/>
  <c r="AK35" i="2" s="1"/>
  <c r="AJ35" i="2"/>
  <c r="AN35" i="2" s="1"/>
  <c r="X21" i="2"/>
  <c r="AK21" i="2" s="1"/>
  <c r="AJ21" i="2"/>
  <c r="AN21" i="2" s="1"/>
  <c r="X63" i="2"/>
  <c r="AK63" i="2" s="1"/>
  <c r="AJ63" i="2"/>
  <c r="AN63" i="2" s="1"/>
  <c r="X45" i="2"/>
  <c r="AK45" i="2" s="1"/>
  <c r="AJ45" i="2"/>
  <c r="AN45" i="2" s="1"/>
  <c r="X27" i="2"/>
  <c r="AK27" i="2" s="1"/>
  <c r="AJ27" i="2"/>
  <c r="AN27" i="2" s="1"/>
  <c r="X55" i="2"/>
  <c r="AK55" i="2" s="1"/>
  <c r="AJ55" i="2"/>
  <c r="AN55" i="2" s="1"/>
  <c r="X51" i="2"/>
  <c r="AK51" i="2" s="1"/>
  <c r="AJ51" i="2"/>
  <c r="AN51" i="2" s="1"/>
  <c r="X37" i="2"/>
  <c r="AK37" i="2" s="1"/>
  <c r="AJ37" i="2"/>
  <c r="AN37" i="2" s="1"/>
  <c r="X23" i="2"/>
  <c r="AK23" i="2" s="1"/>
  <c r="AJ23" i="2"/>
  <c r="AN23" i="2" s="1"/>
  <c r="X19" i="2"/>
  <c r="AK19" i="2" s="1"/>
  <c r="AJ19" i="2"/>
  <c r="AN19" i="2" s="1"/>
  <c r="X39" i="2"/>
  <c r="AJ39" i="2"/>
  <c r="AN39" i="2" s="1"/>
  <c r="X59" i="2"/>
  <c r="AJ59" i="2"/>
  <c r="AN59" i="2" s="1"/>
  <c r="X31" i="2"/>
  <c r="AK31" i="2" s="1"/>
  <c r="AJ31" i="2"/>
  <c r="AN31" i="2" s="1"/>
  <c r="X12" i="2"/>
  <c r="AK12" i="2" s="1"/>
  <c r="AJ12" i="2"/>
  <c r="AN12" i="2" s="1"/>
  <c r="X61" i="2"/>
  <c r="AJ61" i="2"/>
  <c r="AN61" i="2" s="1"/>
  <c r="X47" i="2"/>
  <c r="AK47" i="2" s="1"/>
  <c r="AJ47" i="2"/>
  <c r="AN47" i="2" s="1"/>
  <c r="X43" i="2"/>
  <c r="AJ43" i="2"/>
  <c r="AN43" i="2" s="1"/>
  <c r="X29" i="2"/>
  <c r="AK29" i="2" s="1"/>
  <c r="AJ29" i="2"/>
  <c r="AN29" i="2" s="1"/>
  <c r="X15" i="2"/>
  <c r="AK15" i="2" s="1"/>
  <c r="AJ15" i="2"/>
  <c r="AN15" i="2" s="1"/>
  <c r="X13" i="2"/>
  <c r="AK13" i="2" s="1"/>
  <c r="AJ13" i="2"/>
  <c r="AN13" i="2" s="1"/>
  <c r="AK30" i="2"/>
  <c r="AK48" i="2"/>
  <c r="X24" i="2"/>
  <c r="AK24" i="2" s="1"/>
  <c r="AJ24" i="2"/>
  <c r="AN24" i="2" s="1"/>
  <c r="X16" i="2"/>
  <c r="AJ16" i="2"/>
  <c r="AN16" i="2" s="1"/>
  <c r="B1" i="2"/>
  <c r="X66" i="2"/>
  <c r="AK66" i="2" s="1"/>
  <c r="AJ66" i="2"/>
  <c r="AN66" i="2" s="1"/>
  <c r="X50" i="2"/>
  <c r="AK50" i="2" s="1"/>
  <c r="AJ50" i="2"/>
  <c r="AN50" i="2" s="1"/>
  <c r="X34" i="2"/>
  <c r="AK34" i="2" s="1"/>
  <c r="AJ34" i="2"/>
  <c r="AN34" i="2" s="1"/>
  <c r="X18" i="2"/>
  <c r="AK18" i="2" s="1"/>
  <c r="AJ18" i="2"/>
  <c r="AN18" i="2" s="1"/>
  <c r="X20" i="2"/>
  <c r="AJ20" i="2"/>
  <c r="AN20" i="2" s="1"/>
  <c r="U4" i="1"/>
  <c r="V4" i="1" s="1"/>
  <c r="U10" i="1"/>
  <c r="V10" i="1" s="1"/>
  <c r="Q13" i="1"/>
  <c r="AQ17" i="19"/>
  <c r="AD2" i="19"/>
  <c r="V2" i="19"/>
  <c r="AQ25" i="19"/>
  <c r="AQ22" i="19"/>
  <c r="AA2" i="19"/>
  <c r="AG3" i="19"/>
  <c r="AF2" i="19"/>
  <c r="AQ20" i="19"/>
  <c r="Y2" i="19"/>
  <c r="K77" i="1"/>
  <c r="K141" i="1"/>
  <c r="K150" i="1"/>
  <c r="X2" i="19"/>
  <c r="AE3" i="19"/>
  <c r="U2" i="19"/>
  <c r="AQ15" i="19"/>
  <c r="K22" i="1"/>
  <c r="AB2" i="19"/>
  <c r="AQ21" i="19"/>
  <c r="W2" i="19"/>
  <c r="AQ16" i="19"/>
  <c r="AQ19" i="19"/>
  <c r="AQ23" i="19"/>
  <c r="AQ18" i="19"/>
  <c r="T2" i="19"/>
  <c r="AE2" i="19"/>
  <c r="AQ24" i="19"/>
  <c r="Z2" i="19"/>
  <c r="AC2" i="19"/>
  <c r="C16" i="19"/>
  <c r="K86" i="1"/>
  <c r="K83" i="1"/>
  <c r="K179" i="1"/>
  <c r="K29" i="1"/>
  <c r="K157" i="1"/>
  <c r="K27" i="1"/>
  <c r="K103" i="1"/>
  <c r="K45" i="1"/>
  <c r="K109" i="1"/>
  <c r="K173" i="1"/>
  <c r="K54" i="1"/>
  <c r="K118" i="1"/>
  <c r="K43" i="1"/>
  <c r="K127" i="1"/>
  <c r="K52" i="1"/>
  <c r="K93" i="1"/>
  <c r="K38" i="1"/>
  <c r="K102" i="1"/>
  <c r="K40" i="1"/>
  <c r="K61" i="1"/>
  <c r="K125" i="1"/>
  <c r="K189" i="1"/>
  <c r="K70" i="1"/>
  <c r="K134" i="1"/>
  <c r="K63" i="1"/>
  <c r="K147" i="1"/>
  <c r="K176" i="1"/>
  <c r="K88" i="1"/>
  <c r="K172" i="1"/>
  <c r="K124" i="1"/>
  <c r="K148" i="1"/>
  <c r="K33" i="1"/>
  <c r="K49" i="1"/>
  <c r="K65" i="1"/>
  <c r="K81" i="1"/>
  <c r="K97" i="1"/>
  <c r="K113" i="1"/>
  <c r="K129" i="1"/>
  <c r="K145" i="1"/>
  <c r="K161" i="1"/>
  <c r="K177" i="1"/>
  <c r="K193" i="1"/>
  <c r="K26" i="1"/>
  <c r="K42" i="1"/>
  <c r="K58" i="1"/>
  <c r="K74" i="1"/>
  <c r="K90" i="1"/>
  <c r="K106" i="1"/>
  <c r="K122" i="1"/>
  <c r="K138" i="1"/>
  <c r="K154" i="1"/>
  <c r="K31" i="1"/>
  <c r="K47" i="1"/>
  <c r="K67" i="1"/>
  <c r="K87" i="1"/>
  <c r="K111" i="1"/>
  <c r="K131" i="1"/>
  <c r="K151" i="1"/>
  <c r="K183" i="1"/>
  <c r="K28" i="1"/>
  <c r="K68" i="1"/>
  <c r="K104" i="1"/>
  <c r="K180" i="1"/>
  <c r="K140" i="1"/>
  <c r="K170" i="1"/>
  <c r="K184" i="1"/>
  <c r="K37" i="1"/>
  <c r="K53" i="1"/>
  <c r="K69" i="1"/>
  <c r="K85" i="1"/>
  <c r="K101" i="1"/>
  <c r="K117" i="1"/>
  <c r="K133" i="1"/>
  <c r="K149" i="1"/>
  <c r="K165" i="1"/>
  <c r="K181" i="1"/>
  <c r="K197" i="1"/>
  <c r="K30" i="1"/>
  <c r="K46" i="1"/>
  <c r="K62" i="1"/>
  <c r="K78" i="1"/>
  <c r="K94" i="1"/>
  <c r="K110" i="1"/>
  <c r="K126" i="1"/>
  <c r="K142" i="1"/>
  <c r="K158" i="1"/>
  <c r="K35" i="1"/>
  <c r="K51" i="1"/>
  <c r="K71" i="1"/>
  <c r="K95" i="1"/>
  <c r="K115" i="1"/>
  <c r="K135" i="1"/>
  <c r="K163" i="1"/>
  <c r="K195" i="1"/>
  <c r="K80" i="1"/>
  <c r="K116" i="1"/>
  <c r="K108" i="1"/>
  <c r="K132" i="1"/>
  <c r="K174" i="1"/>
  <c r="K128" i="1"/>
  <c r="K92" i="1"/>
  <c r="K25" i="1"/>
  <c r="K41" i="1"/>
  <c r="K57" i="1"/>
  <c r="K73" i="1"/>
  <c r="K89" i="1"/>
  <c r="K105" i="1"/>
  <c r="K121" i="1"/>
  <c r="K137" i="1"/>
  <c r="K153" i="1"/>
  <c r="K169" i="1"/>
  <c r="K185" i="1"/>
  <c r="K201" i="1"/>
  <c r="K34" i="1"/>
  <c r="K50" i="1"/>
  <c r="K66" i="1"/>
  <c r="K82" i="1"/>
  <c r="K98" i="1"/>
  <c r="K114" i="1"/>
  <c r="K130" i="1"/>
  <c r="K146" i="1"/>
  <c r="K23" i="1"/>
  <c r="K39" i="1"/>
  <c r="K55" i="1"/>
  <c r="K79" i="1"/>
  <c r="K99" i="1"/>
  <c r="K119" i="1"/>
  <c r="K143" i="1"/>
  <c r="K167" i="1"/>
  <c r="K199" i="1"/>
  <c r="K96" i="1"/>
  <c r="K36" i="1"/>
  <c r="K136" i="1"/>
  <c r="K162" i="1"/>
  <c r="K182" i="1"/>
  <c r="K144" i="1"/>
  <c r="K178" i="1"/>
  <c r="K59" i="1"/>
  <c r="K75" i="1"/>
  <c r="K91" i="1"/>
  <c r="K107" i="1"/>
  <c r="K123" i="1"/>
  <c r="K139" i="1"/>
  <c r="K155" i="1"/>
  <c r="K171" i="1"/>
  <c r="K187" i="1"/>
  <c r="K19" i="1"/>
  <c r="K48" i="1"/>
  <c r="K112" i="1"/>
  <c r="K84" i="1"/>
  <c r="K56" i="1"/>
  <c r="K120" i="1"/>
  <c r="K152" i="1"/>
  <c r="K188" i="1"/>
  <c r="K186" i="1"/>
  <c r="K156" i="1"/>
  <c r="K190" i="1"/>
  <c r="K194" i="1"/>
  <c r="K160" i="1"/>
  <c r="K192" i="1"/>
  <c r="K20" i="1"/>
  <c r="K21" i="1"/>
  <c r="K159" i="1"/>
  <c r="K175" i="1"/>
  <c r="K191" i="1"/>
  <c r="K24" i="1"/>
  <c r="K64" i="1"/>
  <c r="K32" i="1"/>
  <c r="K100" i="1"/>
  <c r="K72" i="1"/>
  <c r="K44" i="1"/>
  <c r="K164" i="1"/>
  <c r="K196" i="1"/>
  <c r="K60" i="1"/>
  <c r="K166" i="1"/>
  <c r="K198" i="1"/>
  <c r="K76" i="1"/>
  <c r="K168" i="1"/>
  <c r="AR4" i="2" l="1"/>
  <c r="G12" i="13"/>
  <c r="M12" i="13" s="1"/>
  <c r="F12" i="13"/>
  <c r="L12" i="13" s="1"/>
  <c r="C27" i="11"/>
  <c r="C12" i="11"/>
  <c r="E12" i="11" s="1"/>
  <c r="C12" i="13"/>
  <c r="I12" i="13" s="1"/>
  <c r="D12" i="13"/>
  <c r="J12" i="13" s="1"/>
  <c r="D27" i="11"/>
  <c r="D28" i="11"/>
  <c r="E25" i="11"/>
  <c r="S52" i="2"/>
  <c r="Z52" i="2" s="1"/>
  <c r="V12" i="1"/>
  <c r="X12" i="1" s="1"/>
  <c r="AV10" i="2" s="1"/>
  <c r="AW10" i="2" s="1"/>
  <c r="AX10" i="2" s="1"/>
  <c r="S8" i="2"/>
  <c r="Z8" i="2" s="1"/>
  <c r="AK43" i="2"/>
  <c r="S42" i="2"/>
  <c r="Z42" i="2" s="1"/>
  <c r="S60" i="2"/>
  <c r="AK61" i="2"/>
  <c r="AK39" i="2"/>
  <c r="S39" i="2"/>
  <c r="Z39" i="2" s="1"/>
  <c r="AK59" i="2"/>
  <c r="S58" i="2"/>
  <c r="AK20" i="2"/>
  <c r="S19" i="2"/>
  <c r="AK16" i="2"/>
  <c r="S16" i="2"/>
  <c r="Z16" i="2" s="1"/>
  <c r="S64" i="2"/>
  <c r="S30" i="2"/>
  <c r="S48" i="2"/>
  <c r="U3" i="19"/>
  <c r="AQ14" i="19"/>
  <c r="C15" i="19" s="1"/>
  <c r="I9" i="1" l="1"/>
  <c r="G8" i="1"/>
  <c r="AJ1" i="2"/>
  <c r="AQ24" i="2" s="1"/>
  <c r="V13" i="1"/>
  <c r="W12" i="1"/>
  <c r="AQ2" i="2" s="1"/>
  <c r="AQ4" i="2" s="1"/>
  <c r="AS4" i="2" s="1"/>
  <c r="AV11" i="2"/>
  <c r="AV12" i="2" s="1"/>
  <c r="AW12" i="2" s="1"/>
  <c r="AX12" i="2" s="1"/>
  <c r="AA58" i="2"/>
  <c r="Z58" i="2"/>
  <c r="AA60" i="2"/>
  <c r="AB60" i="2"/>
  <c r="Z60" i="2"/>
  <c r="AA8" i="2"/>
  <c r="Z48" i="2"/>
  <c r="AA48" i="2"/>
  <c r="S68" i="2"/>
  <c r="AA30" i="2"/>
  <c r="AB30" i="2"/>
  <c r="Z30" i="2"/>
  <c r="Z19" i="2"/>
  <c r="AA19" i="2"/>
  <c r="AB64" i="2"/>
  <c r="Z64" i="2"/>
  <c r="AA64" i="2"/>
  <c r="AB8" i="2"/>
  <c r="AQ58" i="2" l="1"/>
  <c r="AQ17" i="2"/>
  <c r="AQ45" i="2"/>
  <c r="AQ29" i="2"/>
  <c r="AQ55" i="2"/>
  <c r="AQ37" i="2"/>
  <c r="AQ32" i="2"/>
  <c r="AQ8" i="2"/>
  <c r="AQ53" i="2"/>
  <c r="AQ62" i="2"/>
  <c r="AQ34" i="2"/>
  <c r="AQ48" i="2"/>
  <c r="AQ30" i="2"/>
  <c r="AQ9" i="2"/>
  <c r="AQ66" i="2"/>
  <c r="AQ21" i="2"/>
  <c r="AQ46" i="2"/>
  <c r="AQ25" i="2"/>
  <c r="AQ22" i="2"/>
  <c r="AQ61" i="2"/>
  <c r="AQ43" i="2"/>
  <c r="AQ36" i="2"/>
  <c r="AQ26" i="2"/>
  <c r="AQ23" i="2"/>
  <c r="AQ65" i="2"/>
  <c r="AQ20" i="2"/>
  <c r="AQ19" i="2"/>
  <c r="AQ38" i="2"/>
  <c r="AQ56" i="2"/>
  <c r="AQ52" i="2"/>
  <c r="AQ12" i="2"/>
  <c r="AQ44" i="2"/>
  <c r="AQ15" i="2"/>
  <c r="AQ27" i="2"/>
  <c r="AQ49" i="2"/>
  <c r="AQ54" i="2"/>
  <c r="AQ47" i="2"/>
  <c r="AQ63" i="2"/>
  <c r="AQ14" i="2"/>
  <c r="AQ42" i="2"/>
  <c r="BG6" i="2"/>
  <c r="BG45" i="2" s="1"/>
  <c r="M45" i="2" s="1"/>
  <c r="Y45" i="2" s="1"/>
  <c r="AM45" i="2" s="1"/>
  <c r="AQ59" i="2"/>
  <c r="AQ31" i="2"/>
  <c r="AQ50" i="2"/>
  <c r="AQ67" i="2"/>
  <c r="AQ11" i="2"/>
  <c r="AQ18" i="2"/>
  <c r="AQ16" i="2"/>
  <c r="AQ28" i="2"/>
  <c r="AW11" i="2"/>
  <c r="AX11" i="2" s="1"/>
  <c r="AX13" i="2" s="1"/>
  <c r="AQ60" i="2"/>
  <c r="BG11" i="2"/>
  <c r="M11" i="2" s="1"/>
  <c r="BG8" i="2"/>
  <c r="M8" i="2" s="1"/>
  <c r="Y8" i="2" s="1"/>
  <c r="AM8" i="2" s="1"/>
  <c r="BG16" i="2"/>
  <c r="M16" i="2" s="1"/>
  <c r="Y16" i="2" s="1"/>
  <c r="AM16" i="2" s="1"/>
  <c r="BG33" i="2"/>
  <c r="M33" i="2" s="1"/>
  <c r="Y33" i="2" s="1"/>
  <c r="AM33" i="2" s="1"/>
  <c r="BG22" i="2"/>
  <c r="M22" i="2" s="1"/>
  <c r="Y22" i="2" s="1"/>
  <c r="AM22" i="2" s="1"/>
  <c r="AQ40" i="2"/>
  <c r="AQ64" i="2"/>
  <c r="AQ13" i="2"/>
  <c r="AQ57" i="2"/>
  <c r="AQ41" i="2"/>
  <c r="AQ33" i="2"/>
  <c r="AQ10" i="2"/>
  <c r="BG56" i="2"/>
  <c r="M56" i="2" s="1"/>
  <c r="Y56" i="2" s="1"/>
  <c r="AM56" i="2" s="1"/>
  <c r="AQ35" i="2"/>
  <c r="AQ51" i="2"/>
  <c r="AQ39" i="2"/>
  <c r="V70" i="2"/>
  <c r="V71" i="2" s="1"/>
  <c r="AL4" i="2"/>
  <c r="Q76" i="2"/>
  <c r="BG19" i="2" l="1"/>
  <c r="M19" i="2" s="1"/>
  <c r="Y19" i="2" s="1"/>
  <c r="AM19" i="2" s="1"/>
  <c r="BG57" i="2"/>
  <c r="M57" i="2" s="1"/>
  <c r="Y57" i="2" s="1"/>
  <c r="AM57" i="2" s="1"/>
  <c r="BG30" i="2"/>
  <c r="M30" i="2" s="1"/>
  <c r="Y30" i="2" s="1"/>
  <c r="AM30" i="2" s="1"/>
  <c r="BG13" i="2"/>
  <c r="M13" i="2" s="1"/>
  <c r="Y13" i="2" s="1"/>
  <c r="AM13" i="2" s="1"/>
  <c r="BG40" i="2"/>
  <c r="M40" i="2" s="1"/>
  <c r="Y40" i="2" s="1"/>
  <c r="AM40" i="2" s="1"/>
  <c r="BG10" i="2"/>
  <c r="M10" i="2" s="1"/>
  <c r="Y10" i="2" s="1"/>
  <c r="AM10" i="2" s="1"/>
  <c r="BG39" i="2"/>
  <c r="M39" i="2" s="1"/>
  <c r="Y39" i="2" s="1"/>
  <c r="AM39" i="2" s="1"/>
  <c r="BG62" i="2"/>
  <c r="M62" i="2" s="1"/>
  <c r="Y62" i="2" s="1"/>
  <c r="AM62" i="2" s="1"/>
  <c r="BG58" i="2"/>
  <c r="M58" i="2" s="1"/>
  <c r="Y58" i="2" s="1"/>
  <c r="AM58" i="2" s="1"/>
  <c r="BG31" i="2"/>
  <c r="M31" i="2" s="1"/>
  <c r="Y31" i="2" s="1"/>
  <c r="AM31" i="2" s="1"/>
  <c r="BG23" i="2"/>
  <c r="M23" i="2" s="1"/>
  <c r="Y23" i="2" s="1"/>
  <c r="AM23" i="2" s="1"/>
  <c r="BG15" i="2"/>
  <c r="M15" i="2" s="1"/>
  <c r="Y15" i="2" s="1"/>
  <c r="AM15" i="2" s="1"/>
  <c r="BG59" i="2"/>
  <c r="M59" i="2" s="1"/>
  <c r="Y59" i="2" s="1"/>
  <c r="AM59" i="2" s="1"/>
  <c r="BG35" i="2"/>
  <c r="M35" i="2" s="1"/>
  <c r="Y35" i="2" s="1"/>
  <c r="AM35" i="2" s="1"/>
  <c r="BG26" i="2"/>
  <c r="M26" i="2" s="1"/>
  <c r="Y26" i="2" s="1"/>
  <c r="AM26" i="2" s="1"/>
  <c r="BG43" i="2"/>
  <c r="M43" i="2" s="1"/>
  <c r="Y43" i="2" s="1"/>
  <c r="AM43" i="2" s="1"/>
  <c r="BG41" i="2"/>
  <c r="M41" i="2" s="1"/>
  <c r="Y41" i="2" s="1"/>
  <c r="AM41" i="2" s="1"/>
  <c r="BG38" i="2"/>
  <c r="M38" i="2" s="1"/>
  <c r="Y38" i="2" s="1"/>
  <c r="AM38" i="2" s="1"/>
  <c r="BG47" i="2"/>
  <c r="M47" i="2" s="1"/>
  <c r="Y47" i="2" s="1"/>
  <c r="AM47" i="2" s="1"/>
  <c r="BG29" i="2"/>
  <c r="M29" i="2" s="1"/>
  <c r="Y29" i="2" s="1"/>
  <c r="AM29" i="2" s="1"/>
  <c r="BG44" i="2"/>
  <c r="M44" i="2" s="1"/>
  <c r="Y44" i="2" s="1"/>
  <c r="AM44" i="2" s="1"/>
  <c r="BG52" i="2"/>
  <c r="M52" i="2" s="1"/>
  <c r="Y52" i="2" s="1"/>
  <c r="AM52" i="2" s="1"/>
  <c r="BG32" i="2"/>
  <c r="M32" i="2" s="1"/>
  <c r="Y32" i="2" s="1"/>
  <c r="AM32" i="2" s="1"/>
  <c r="BG48" i="2"/>
  <c r="M48" i="2" s="1"/>
  <c r="Y48" i="2" s="1"/>
  <c r="AM48" i="2" s="1"/>
  <c r="BG14" i="2"/>
  <c r="M14" i="2" s="1"/>
  <c r="Y14" i="2" s="1"/>
  <c r="AM14" i="2" s="1"/>
  <c r="BG61" i="2"/>
  <c r="M61" i="2" s="1"/>
  <c r="Y61" i="2" s="1"/>
  <c r="AM61" i="2" s="1"/>
  <c r="BG25" i="2"/>
  <c r="M25" i="2" s="1"/>
  <c r="Y25" i="2" s="1"/>
  <c r="AM25" i="2" s="1"/>
  <c r="BG67" i="2"/>
  <c r="M67" i="2" s="1"/>
  <c r="Y67" i="2" s="1"/>
  <c r="BG20" i="2"/>
  <c r="M20" i="2" s="1"/>
  <c r="Y20" i="2" s="1"/>
  <c r="AM20" i="2" s="1"/>
  <c r="BG46" i="2"/>
  <c r="M46" i="2" s="1"/>
  <c r="Y46" i="2" s="1"/>
  <c r="AM46" i="2" s="1"/>
  <c r="BG53" i="2"/>
  <c r="M53" i="2" s="1"/>
  <c r="Y53" i="2" s="1"/>
  <c r="AM53" i="2" s="1"/>
  <c r="BG21" i="2"/>
  <c r="M21" i="2" s="1"/>
  <c r="Y21" i="2" s="1"/>
  <c r="AM21" i="2" s="1"/>
  <c r="BG63" i="2"/>
  <c r="M63" i="2" s="1"/>
  <c r="Y63" i="2" s="1"/>
  <c r="BG28" i="2"/>
  <c r="M28" i="2" s="1"/>
  <c r="Y28" i="2" s="1"/>
  <c r="AM28" i="2" s="1"/>
  <c r="BG65" i="2"/>
  <c r="M65" i="2" s="1"/>
  <c r="Y65" i="2" s="1"/>
  <c r="BG42" i="2"/>
  <c r="M42" i="2" s="1"/>
  <c r="Y42" i="2" s="1"/>
  <c r="AM42" i="2" s="1"/>
  <c r="BG18" i="2"/>
  <c r="M18" i="2" s="1"/>
  <c r="Y18" i="2" s="1"/>
  <c r="AM18" i="2" s="1"/>
  <c r="BG24" i="2"/>
  <c r="M24" i="2" s="1"/>
  <c r="Y24" i="2" s="1"/>
  <c r="AM24" i="2" s="1"/>
  <c r="BG36" i="2"/>
  <c r="M36" i="2" s="1"/>
  <c r="Y36" i="2" s="1"/>
  <c r="AM36" i="2" s="1"/>
  <c r="BG34" i="2"/>
  <c r="M34" i="2" s="1"/>
  <c r="Y34" i="2" s="1"/>
  <c r="AM34" i="2" s="1"/>
  <c r="BG27" i="2"/>
  <c r="M27" i="2" s="1"/>
  <c r="Y27" i="2" s="1"/>
  <c r="AM27" i="2" s="1"/>
  <c r="BG17" i="2"/>
  <c r="M17" i="2" s="1"/>
  <c r="Y17" i="2" s="1"/>
  <c r="AM17" i="2" s="1"/>
  <c r="BG55" i="2"/>
  <c r="M55" i="2" s="1"/>
  <c r="Y55" i="2" s="1"/>
  <c r="AM55" i="2" s="1"/>
  <c r="BG9" i="2"/>
  <c r="M9" i="2" s="1"/>
  <c r="Y9" i="2" s="1"/>
  <c r="AM9" i="2" s="1"/>
  <c r="BG54" i="2"/>
  <c r="M54" i="2" s="1"/>
  <c r="Y54" i="2" s="1"/>
  <c r="AM54" i="2" s="1"/>
  <c r="BG64" i="2"/>
  <c r="M64" i="2" s="1"/>
  <c r="Y64" i="2" s="1"/>
  <c r="BG12" i="2"/>
  <c r="M12" i="2" s="1"/>
  <c r="Y12" i="2" s="1"/>
  <c r="AM12" i="2" s="1"/>
  <c r="BG51" i="2"/>
  <c r="M51" i="2" s="1"/>
  <c r="Y51" i="2" s="1"/>
  <c r="AM51" i="2" s="1"/>
  <c r="BG37" i="2"/>
  <c r="M37" i="2" s="1"/>
  <c r="Y37" i="2" s="1"/>
  <c r="AM37" i="2" s="1"/>
  <c r="BG50" i="2"/>
  <c r="M50" i="2" s="1"/>
  <c r="Y50" i="2" s="1"/>
  <c r="AM50" i="2" s="1"/>
  <c r="BG60" i="2"/>
  <c r="M60" i="2" s="1"/>
  <c r="Y60" i="2" s="1"/>
  <c r="AM60" i="2" s="1"/>
  <c r="BG66" i="2"/>
  <c r="M66" i="2" s="1"/>
  <c r="Y66" i="2" s="1"/>
  <c r="Y11" i="2"/>
  <c r="AM11" i="2" s="1"/>
  <c r="AM4" i="2"/>
  <c r="Z79" i="2"/>
  <c r="Z81" i="2" s="1"/>
  <c r="AW9" i="2" l="1"/>
  <c r="Q79" i="2"/>
  <c r="S78" i="2"/>
</calcChain>
</file>

<file path=xl/comments1.xml><?xml version="1.0" encoding="utf-8"?>
<comments xmlns="http://schemas.openxmlformats.org/spreadsheetml/2006/main">
  <authors>
    <author>Rodolfo Castro Gonzalez</author>
    <author>Natalia Coy Duque</author>
  </authors>
  <commentList>
    <comment ref="E18" authorId="0" shapeId="0">
      <text>
        <r>
          <rPr>
            <b/>
            <sz val="9"/>
            <color indexed="81"/>
            <rFont val="Tahoma"/>
            <family val="2"/>
          </rPr>
          <t>Puntaje al aplicar la valoracion indicada en la Resolución para los 60 ITEMS</t>
        </r>
      </text>
    </comment>
    <comment ref="F18" authorId="0" shapeId="0">
      <text>
        <r>
          <rPr>
            <b/>
            <sz val="9"/>
            <color indexed="81"/>
            <rFont val="Tahoma"/>
            <family val="2"/>
          </rPr>
          <t>Total calificación items que cumple / Calificación items aplicables x 100%</t>
        </r>
      </text>
    </comment>
    <comment ref="C20" authorId="1" shapeId="0">
      <text>
        <r>
          <rPr>
            <sz val="9"/>
            <color indexed="81"/>
            <rFont val="Tahoma"/>
            <family val="2"/>
          </rPr>
          <t>Evaluador: No registrado
Cargo: No registrado
Trabajadores: 216
Nivel de riesgo: I
NO es U. de Prod. Agropecuaria</t>
        </r>
      </text>
    </comment>
  </commentList>
</comments>
</file>

<file path=xl/comments2.xml><?xml version="1.0" encoding="utf-8"?>
<comments xmlns="http://schemas.openxmlformats.org/spreadsheetml/2006/main">
  <authors>
    <author>Rodolfo Castro Gonzalez</author>
  </authors>
  <commentList>
    <comment ref="B2" authorId="0" shapeId="0">
      <text>
        <r>
          <rPr>
            <b/>
            <sz val="9"/>
            <color indexed="81"/>
            <rFont val="Tahoma"/>
            <family val="2"/>
          </rPr>
          <t xml:space="preserve">CLIC EN GRAFICAR PARA VER EL GRAFICO POR ESTANDAR PARA LAS EVALUACIONES SELECCIONADAS
</t>
        </r>
      </text>
    </comment>
    <comment ref="B15" authorId="0" shapeId="0">
      <text>
        <r>
          <rPr>
            <b/>
            <sz val="9"/>
            <color indexed="81"/>
            <rFont val="Tahoma"/>
            <family val="2"/>
          </rPr>
          <t>CLIC EN GRAFICAR PARA VER EL GRAFICO POR FASE DEL CICLO PHVA PARA LAS EVALUACIONES SELECCIONADAS</t>
        </r>
      </text>
    </comment>
    <comment ref="B22" authorId="0" shapeId="0">
      <text>
        <r>
          <rPr>
            <b/>
            <sz val="9"/>
            <color indexed="81"/>
            <rFont val="Tahoma"/>
            <family val="2"/>
          </rPr>
          <t>CLIC EN GRAFICAR PARA VER EL GRAFICO POR NÚMERO DE ITEMS PARA LAS EVALUACIONES SELECCIONADAS</t>
        </r>
      </text>
    </comment>
  </commentList>
</comments>
</file>

<file path=xl/sharedStrings.xml><?xml version="1.0" encoding="utf-8"?>
<sst xmlns="http://schemas.openxmlformats.org/spreadsheetml/2006/main" count="2756" uniqueCount="690">
  <si>
    <t>CICLO PHVA</t>
  </si>
  <si>
    <t>No aplica</t>
  </si>
  <si>
    <t>Fecha</t>
  </si>
  <si>
    <t>No cumple</t>
  </si>
  <si>
    <t>I. PLANEAR</t>
  </si>
  <si>
    <t>X</t>
  </si>
  <si>
    <t>Planear</t>
  </si>
  <si>
    <t>P - Recursos</t>
  </si>
  <si>
    <t>Recursos Financieros, Técnicos, Humanos y de otra índole para coordinar y desarrollar el SG SST</t>
  </si>
  <si>
    <t>1.1.4 Afiliación al Sistema General de Riesgos Laborales</t>
  </si>
  <si>
    <t>Capacitación en SG SST</t>
  </si>
  <si>
    <t>Politica del SG SST</t>
  </si>
  <si>
    <t>P - Gestión Integral del SG SST</t>
  </si>
  <si>
    <t>Objetivos del SG SST</t>
  </si>
  <si>
    <t>Evaluación inicial del SG SST</t>
  </si>
  <si>
    <t>2.4.1 Plan que identifica objetivos, metas, responsabilidad, recursos con cronograma y firmado</t>
  </si>
  <si>
    <t>Plan de Trabajo</t>
  </si>
  <si>
    <t>Conservación de la documentación</t>
  </si>
  <si>
    <t>Rendición de cuentas</t>
  </si>
  <si>
    <t>Normatividad Vigente y Aplicable del SG SST</t>
  </si>
  <si>
    <t>Comunicación</t>
  </si>
  <si>
    <t>Adquisiciones</t>
  </si>
  <si>
    <t>Contratación</t>
  </si>
  <si>
    <t>Gestión del Cambio</t>
  </si>
  <si>
    <t>II. HACER</t>
  </si>
  <si>
    <t>Hacer</t>
  </si>
  <si>
    <t>H - Gestión de la Salud</t>
  </si>
  <si>
    <t xml:space="preserve">Condiciones de Salud en el Trabajo </t>
  </si>
  <si>
    <t>3.1.2 Actividades de Promoción y Prevención en Salud</t>
  </si>
  <si>
    <t>3.1.9 Eliminación adecuada de residuos sólidos, líquidos o gaseosos</t>
  </si>
  <si>
    <t>Registro, Reporte e Investigación de los incidentes, accidentes y enfermedades laborales</t>
  </si>
  <si>
    <t>Mecanismo de Vigilancia de las Condiciones de Salud de los Trabajadores</t>
  </si>
  <si>
    <t>H - Gestión de Peligros y Riesgos</t>
  </si>
  <si>
    <t>Identificación de peligros, evaluación y valoración de riesgos.</t>
  </si>
  <si>
    <t>Medidas de prevención y control para intervenir los riesgos / peligros</t>
  </si>
  <si>
    <t>H - Gestión de Amenazas</t>
  </si>
  <si>
    <t>Plan de Prevención, Preparación ante Emergencias</t>
  </si>
  <si>
    <t>III. VERIFICAR</t>
  </si>
  <si>
    <t>Verificar</t>
  </si>
  <si>
    <t>V - Verificación del SG SST</t>
  </si>
  <si>
    <t>Gestión y Resultados del SG SST</t>
  </si>
  <si>
    <t>IV. ACTUAR</t>
  </si>
  <si>
    <t>Acciones Preventivas y Correctivas con base en los resultados del SG SST</t>
  </si>
  <si>
    <t>Actuar</t>
  </si>
  <si>
    <t>A - Mejoramiento</t>
  </si>
  <si>
    <t>TOTALES</t>
  </si>
  <si>
    <t>x</t>
  </si>
  <si>
    <t>ACEPTABLE:  Calificación Mayor al 85 %</t>
  </si>
  <si>
    <r>
      <t>•</t>
    </r>
    <r>
      <rPr>
        <sz val="7"/>
        <color theme="1"/>
        <rFont val="Times New Roman"/>
        <family val="1"/>
      </rPr>
      <t xml:space="preserve">     </t>
    </r>
    <r>
      <rPr>
        <sz val="18"/>
        <color theme="1"/>
        <rFont val="Calibri"/>
        <family val="2"/>
        <scheme val="minor"/>
      </rPr>
      <t>Mantener la calificación y evidencias a disposición de MinTrabajo.</t>
    </r>
  </si>
  <si>
    <t>MODERADAMENTE ACEPTABLE: Calificación entre 61% y el 85 %</t>
  </si>
  <si>
    <r>
      <t>•</t>
    </r>
    <r>
      <rPr>
        <sz val="7"/>
        <color theme="1"/>
        <rFont val="Times New Roman"/>
        <family val="1"/>
      </rPr>
      <t xml:space="preserve">     </t>
    </r>
    <r>
      <rPr>
        <sz val="18"/>
        <color theme="1"/>
        <rFont val="Calibri"/>
        <family val="2"/>
        <scheme val="minor"/>
      </rPr>
      <t>Plan de Mejoramiento a disposición de MinTrabajo</t>
    </r>
  </si>
  <si>
    <r>
      <t>•</t>
    </r>
    <r>
      <rPr>
        <sz val="7"/>
        <color theme="1"/>
        <rFont val="Times New Roman"/>
        <family val="1"/>
      </rPr>
      <t xml:space="preserve">    </t>
    </r>
    <r>
      <rPr>
        <sz val="18"/>
        <color theme="1"/>
        <rFont val="Calibri"/>
        <family val="2"/>
        <scheme val="minor"/>
      </rPr>
      <t>Enviar a la ARL reporte de avances (max a los seis meses)</t>
    </r>
  </si>
  <si>
    <r>
      <t>•</t>
    </r>
    <r>
      <rPr>
        <sz val="7"/>
        <color theme="1"/>
        <rFont val="Times New Roman"/>
        <family val="1"/>
      </rPr>
      <t xml:space="preserve">    </t>
    </r>
    <r>
      <rPr>
        <sz val="18"/>
        <color theme="1"/>
        <rFont val="Calibri"/>
        <family val="2"/>
        <scheme val="minor"/>
      </rPr>
      <t>Plan de visita MinTrabajo</t>
    </r>
  </si>
  <si>
    <t>CRITICO: Calificación menor al 60%</t>
  </si>
  <si>
    <r>
      <t>•</t>
    </r>
    <r>
      <rPr>
        <b/>
        <sz val="7"/>
        <color theme="0"/>
        <rFont val="Times New Roman"/>
        <family val="1"/>
      </rPr>
      <t xml:space="preserve">      </t>
    </r>
    <r>
      <rPr>
        <b/>
        <sz val="16"/>
        <color theme="0"/>
        <rFont val="Calibri"/>
        <family val="2"/>
        <scheme val="minor"/>
      </rPr>
      <t>Plan de Mejoramiento de inmediato a disposición de MinTrabajo</t>
    </r>
  </si>
  <si>
    <r>
      <t>•</t>
    </r>
    <r>
      <rPr>
        <b/>
        <sz val="7"/>
        <color theme="0"/>
        <rFont val="Times New Roman"/>
        <family val="1"/>
      </rPr>
      <t xml:space="preserve">      </t>
    </r>
    <r>
      <rPr>
        <b/>
        <sz val="16"/>
        <color theme="0"/>
        <rFont val="Calibri"/>
        <family val="2"/>
        <scheme val="minor"/>
      </rPr>
      <t>Enviar a la ARL reporte de avances ( máx a los tres meses)</t>
    </r>
  </si>
  <si>
    <t>TABLA DE VALORES Y CALIFICACIÓN</t>
  </si>
  <si>
    <t>CICLO</t>
  </si>
  <si>
    <t>ESTÁNDAR</t>
  </si>
  <si>
    <t>ÌTEM DEL ESTÁNDAR</t>
  </si>
  <si>
    <t>PESO PORCENTUAL</t>
  </si>
  <si>
    <t>CALIFICACIÓN DE LA EMPRESA O CONTRATANTE</t>
  </si>
  <si>
    <t>Cumple totalmente</t>
  </si>
  <si>
    <t>1.1.1. Responsable del Sistema de Gestión de Seguridad y Salud en el Trabajo SG-SST</t>
  </si>
  <si>
    <t>1.1.2 Responsabilidades en el Sistema de Gestión de Seguridad y Salud en el Trabajo – SG-SST</t>
  </si>
  <si>
    <t>1.1.3 Asignación de recursos para el Sistema de Gestión en Seguridad y Salud en el Trabajo – SG-SST</t>
  </si>
  <si>
    <t>1.1.6 Conformación COPASST</t>
  </si>
  <si>
    <t>1.1.7 Capacitación COPASST</t>
  </si>
  <si>
    <t>1.1.8 Conformación Comité de Convivencia</t>
  </si>
  <si>
    <t>1.2.1 Programa Capacitación promoción y prevención – PyP</t>
  </si>
  <si>
    <t>1.2.3 Responsables del Sistema de Gestión de Seguridad y Salud en el Trabajo SG-SST con curso virtual de 50 horas</t>
  </si>
  <si>
    <t>2.1.1 Política del Sistema de Gestión de Seguridad y Salud en el Trabajo SG-SST firmada, fechada y comunicada al COPASST</t>
  </si>
  <si>
    <t>2.2.1 Objetivos definidos, claros, medibles, cuantificables, con metas, documentados, revisados del SG-SST</t>
  </si>
  <si>
    <t>2.3.1 Evaluación e identificación de prioridades</t>
  </si>
  <si>
    <t>2.5.1 Archivo o retención documental del Sistema de Gestión en Seguridad y Salud en el Trabajo SG-SST</t>
  </si>
  <si>
    <t>2.6.1 Rendición sobre el desempeño</t>
  </si>
  <si>
    <t>2.7.1 Matriz legal</t>
  </si>
  <si>
    <t>2.8.1 Mecanismos de comunicación, auto reporte en Sistema de Gestión de Seguridad y Salud en el Trabajo SG-SST</t>
  </si>
  <si>
    <t>2.10.1 Evaluación y selección de proveedores y contratistas</t>
  </si>
  <si>
    <t>2.11.1 Evaluación del impacto de cambios internos y externos en el Sistema de Gestión de Seguridad y Salud en el Trabajo SG-SST</t>
  </si>
  <si>
    <t>3.1.3 Información al médico de los perfiles de cargo</t>
  </si>
  <si>
    <t>3.1.4 Realización de Evaluaciones Médicas Ocupacionales -Peligros- Periodicidad- Comunicación al Trabajador</t>
  </si>
  <si>
    <t>3.1.5 Custodia de Historias Clínicas</t>
  </si>
  <si>
    <t>3.1.6 Restricciones y recomendaciones médico/laborales</t>
  </si>
  <si>
    <t>3.1.7 Estilos de vida y entornos saludables (controles tabaquismo, alcoholismo, farmacodependencia y otros)</t>
  </si>
  <si>
    <t>3.1.8 Agua potable, servicios sanitarios y disposición de basuras</t>
  </si>
  <si>
    <t>3.2.1 Reporte de los accidentes de trabajo y enfermedad laboral a la ARL, EPS y Dirección Territorial del Ministerio de Trabajo</t>
  </si>
  <si>
    <t>3.3.1 Medición de la frecuencia de la accidentalidad</t>
  </si>
  <si>
    <t>3.3.2 Medición de la severidad de la accidentalidad</t>
  </si>
  <si>
    <t>3.3.3 Medición de la mortalidad por Accidente de Trabajo</t>
  </si>
  <si>
    <t>3.3.4 Medición de la prevalencia de Enfermedad Laboral</t>
  </si>
  <si>
    <t>3.3.5 Medición de la incidencia de Enfermedad Laboral</t>
  </si>
  <si>
    <t>3.3.6 Medición del ausentismo por causa médica</t>
  </si>
  <si>
    <t>4.1.1 Metodología para la identificación de peligros, evaluación y valoración de los riesgos</t>
  </si>
  <si>
    <t>4.1.2 Identificación de peligros con participación de todos los niveles de la empresa</t>
  </si>
  <si>
    <t>4.1.3 Identificación de sustancias catalogadas como carcinógenas o con toxicidad aguda</t>
  </si>
  <si>
    <t>4.2.2 Verificación de aplicación de medidas de prevención y control por parte de los trabajadores</t>
  </si>
  <si>
    <t>4.2.3 Elaboración de procedimientos, instructivos, fichas, protocolos</t>
  </si>
  <si>
    <t>4.2.5 Mantenimiento periódico de instalaciones, equipos, máquinas, herramientas</t>
  </si>
  <si>
    <t>5.1.2 Brigada de prevención conformada, capacitada y dotada</t>
  </si>
  <si>
    <t>6.1.2 Las empresa adelanta auditoría por lo menos una vez al año</t>
  </si>
  <si>
    <t>7.1.2 Acciones de mejora conforme a revisión de la alta dirección</t>
  </si>
  <si>
    <t>7.1.3 Acciones de mejora con base en investigaciones de accidentes de trabajo y enfermedades laborales</t>
  </si>
  <si>
    <t>– Cuando se cumple con el ítem del estándar la calificación será la máxima del respectivo ítem, de lo contrario su calificación será igual a cero (0).</t>
  </si>
  <si>
    <t>– En los ítems de la Tabla de Valores que no aplican para las empresas de menos de cincuenta (50) trabajadores clasificadas con riesgo I, II ó III, de conformidad con los Estándares Mínimos de SST vigentes, se deberá otorgar el porcentaje máximo de calificación en la columna “No Aplica” frente al ítem correspondiente.</t>
  </si>
  <si>
    <t>El presente formulario es documento público. La información aquí consignada debe ser veraz. La inclusión de manifestaciones falsas estará sujeta  a las sanciones contempladas en la Ley 599 de 2000, Código Penal Colombiano (artículos 287, 288, 291, 294).</t>
  </si>
  <si>
    <t>FIRMA DEL RESPONSABLE DE LA EJECUCIÓN DEL SG-SST</t>
  </si>
  <si>
    <t>Empresa</t>
  </si>
  <si>
    <t>1.1.5 Identificación de trabajadores de alto riesgo y cotización de pensión especial</t>
  </si>
  <si>
    <t>1.2.2 Inducción y Reinducción en Sistema de Gestión de Seguridad y Salud en el Trabajo SG-SST, actividades de Promoción y Prevención PyP</t>
  </si>
  <si>
    <t>2.9.1 Identificación, evaluación para adquisición de productos y servicios en Sistema de Gestión de Seguridad y Salud en el Trabajo SG-SST</t>
  </si>
  <si>
    <t>3.1.1 Descripción sociodemográfica. Diagnóstico de condiciones de salud</t>
  </si>
  <si>
    <t>3.2.2 Investigación de Incidentes, Accidentes y Enfermedades Laborales</t>
  </si>
  <si>
    <t>3.2.3 Registro y análisis estadístico de Accidentes y Enfermedades Laborales</t>
  </si>
  <si>
    <t>4.1.4 Realización mediciones ambientales químicos, físicos y biológicos</t>
  </si>
  <si>
    <t>4.2.1 Implementación de medidas de prevención y control frente a peligros/riesgos identificados</t>
  </si>
  <si>
    <t>4.2.4 Realización de inspecciones a instalaciones, maquinaria o equipos con la participación del COPASST</t>
  </si>
  <si>
    <t>4.2.6 Entrega de Elementos de Protección Personal - EPP, se verifica con contratistas y subcontratistas</t>
  </si>
  <si>
    <t>5.1.1 Se cuenta con el Plan de Preparación, Prevención y Respuesta ante emergencias</t>
  </si>
  <si>
    <t>6.1.1 Definición de indicadores del SG-SST de acuerdo condiciones de la empresa</t>
  </si>
  <si>
    <t>6.1.3 Revisión anual por la alta dirección resultados de la auditoría</t>
  </si>
  <si>
    <t>6.1.4 Planificación auditorías con el COPASST</t>
  </si>
  <si>
    <t>7.1.1 Definición de acciones preventivas y correctivas con base en resultados del SG-SST</t>
  </si>
  <si>
    <t>7.1.4 Elaboración Plan de Mejoramiento - implementación de medidas y acciones correctivas solicitadas por autoridades y ARL</t>
  </si>
  <si>
    <t>FIRMA EMPLEADOR O CONTRATANTE</t>
  </si>
  <si>
    <t>ESTÁNDARES MÍNIMOS SG-SST</t>
  </si>
  <si>
    <t>VALOR DEL ITEM DEL ESTANDAR</t>
  </si>
  <si>
    <t>&lt;10 TRAB</t>
  </si>
  <si>
    <t>UNIDAD AGROP &lt;10 TR</t>
  </si>
  <si>
    <t>11 A 50 TRAB</t>
  </si>
  <si>
    <r>
      <t>•</t>
    </r>
    <r>
      <rPr>
        <sz val="7"/>
        <color theme="1"/>
        <rFont val="Times New Roman"/>
        <family val="1"/>
      </rPr>
      <t xml:space="preserve">    </t>
    </r>
    <r>
      <rPr>
        <sz val="18"/>
        <color theme="1"/>
        <rFont val="Calibri"/>
        <family val="2"/>
        <scheme val="minor"/>
      </rPr>
      <t>Incluir en el Plan de Anual de Trabajo las mejoras que se establezcan de acuerdo con la evaluación</t>
    </r>
  </si>
  <si>
    <r>
      <t>•</t>
    </r>
    <r>
      <rPr>
        <b/>
        <sz val="7"/>
        <color theme="0"/>
        <rFont val="Times New Roman"/>
        <family val="1"/>
      </rPr>
      <t xml:space="preserve">     </t>
    </r>
    <r>
      <rPr>
        <b/>
        <sz val="16"/>
        <color theme="0"/>
        <rFont val="Calibri"/>
        <family val="2"/>
        <scheme val="minor"/>
      </rPr>
      <t>Seguimiento anual y Plan de Visita  la empresa por parte del Ministerio</t>
    </r>
  </si>
  <si>
    <t>Número de trabajadores</t>
  </si>
  <si>
    <t>Clase de riesgo</t>
  </si>
  <si>
    <t>Unidad agropecuaria</t>
  </si>
  <si>
    <t>Responsable</t>
  </si>
  <si>
    <t>Severidad de accidentalidad</t>
  </si>
  <si>
    <t>Prevalencia de la enfermedad laboral</t>
  </si>
  <si>
    <t>Incidencia de la enfermedad laboral</t>
  </si>
  <si>
    <t>Ausentismo por causa médica</t>
  </si>
  <si>
    <t>MODO DE VERIFICACIÓN</t>
  </si>
  <si>
    <t>Solicitar documento soporte de la asignación y constatar la hoja de vida con soportes, de la persona asignada.</t>
  </si>
  <si>
    <t>Afiliación al Sistema de Seguridad Social Integral</t>
  </si>
  <si>
    <t>Afiliación a los Sistemas de Seguridad Social en Salud, Pensión y Riesgos Laborales de acuerdo con la normatividad vigente.</t>
  </si>
  <si>
    <t>Capacitación en SST</t>
  </si>
  <si>
    <t>Plan Anual de Trabajo</t>
  </si>
  <si>
    <t>Solicitar documento que contenga Plan Anual de Trabajo.</t>
  </si>
  <si>
    <t>Evaluaciones médicas ocupacionales</t>
  </si>
  <si>
    <t>Conceptos emitidos por el médico evaluador en el cual informe recomendaciones y restricciones laborales.</t>
  </si>
  <si>
    <t>Medidas de prevención y control frente a peligros/riesgos identificados</t>
  </si>
  <si>
    <t>Asignación de una persona que diseñe el Sistema de Gestión de SST</t>
  </si>
  <si>
    <t>Solicitar documento soporte de la asignación y constatar la hoja de vida con soportes, de la persona asignada.</t>
  </si>
  <si>
    <t>Asignación de recursos para el Sistema de Gestión de SST</t>
  </si>
  <si>
    <t>Asignar recursos económicos para desarrollar acciones de promoción de la salud y prevención de riesgos laborales.</t>
  </si>
  <si>
    <t>Solicitar documento soporte de asignación de recursos.</t>
  </si>
  <si>
    <t>Afiliación a los Sistemas de Seguridad Social en Salud, Pensión y Riesgos Laborales de acuerdo con la normatividad vigente. Pago de pensión de trabajadores de alto riesgo.</t>
  </si>
  <si>
    <t>Solicitar documento soporte de afiliación y del pago correspondiente.</t>
  </si>
  <si>
    <t>Conformar, capacitar y verificar el cumplimiento de las responsabilidades del COPASST.</t>
  </si>
  <si>
    <t>Solicitar actas de conformación, actas de reuniones e informes</t>
  </si>
  <si>
    <t>Conformación y funcionamiento del Comité de Convivencia Laboral.</t>
  </si>
  <si>
    <t>Conformar, capacitar y verificar el cumplimiento de las responsabilidades del Comité de Convivencia Laboral</t>
  </si>
  <si>
    <t>Solicitar actas de reuniones e informes del Comité de Convivencia Laboral</t>
  </si>
  <si>
    <t>Programa de capacitación</t>
  </si>
  <si>
    <t>Elaborar y ejecutar el programa de capacitación en promoción y prevención, que incluye lo referente a los peligros/riesgos prioritarios y las medidas de prevención y control, extensivo a todos los niveles de la organización.</t>
  </si>
  <si>
    <t>Solicitar el programa de capacitación y los soportes de la ejecución del mismo / planillas donde se evidencie la firma de los trabajadores participantes</t>
  </si>
  <si>
    <t>Política de Seguridad y Salud en el Trabajo</t>
  </si>
  <si>
    <t>Elaborar política de SST escrita, firmada, fechada y comunicada al COPASST y a todos los trabajadores.</t>
  </si>
  <si>
    <t>Solicitar la política escrita y soportes de su divulgación</t>
  </si>
  <si>
    <t>Solicitar documento que contenga plan anual de trabajo</t>
  </si>
  <si>
    <t>Archivo y retención documental del Sistema de Gestión de SST</t>
  </si>
  <si>
    <t>Revisar el archivo con los documentos soporte de acuerdo con la normatividad vigente.</t>
  </si>
  <si>
    <t>Descripción socio demográfica y Diagnóstico de condiciones de salud</t>
  </si>
  <si>
    <t>Identificar las características de la población trabajadora (edad, sexo, cargos, antigüedad, nivel escolaridad, etc.) y el diagnóstico de condiciones de salud que incluya la caracterización de sus condiciones de salud, recopilar, analizar e interpretar los datos del estado de salud de los trabajadores</t>
  </si>
  <si>
    <t>Actividades de medicina del trabajo y de prevención y promoción de la salud</t>
  </si>
  <si>
    <t>Desarrollar las actividades de medicina del trabajo, prevención y promoción de la salud de conformidad con las prioridades identificadas en el diagnóstico de condiciones de salud y con los peligros/riesgos prioritarios.</t>
  </si>
  <si>
    <t>Realizar las evaluaciones médicas ocupacionales de acuerdo con la normatividad y los peligros/riesgos a los cuales se encuentre expuesto el trabajador.</t>
  </si>
  <si>
    <t>Conceptos emitidos por el médico evaluador en el cual informe recomendaciones y restricciones laborales</t>
  </si>
  <si>
    <t>Restricciones y recomendaciones médicas laborales</t>
  </si>
  <si>
    <t>Reporte de accidentes de trabajo y enfermedades laborales</t>
  </si>
  <si>
    <t>Investigación de incidentes, accidentes de trabajo y enfermedades cuando sean diagnosticadas como laborales</t>
  </si>
  <si>
    <t>Investigar los incidentes y todos los accidentes de trabajo y las enfermedades cuando sean diagnosticadas como laborales, con la participación del COPASST, previniendo la posibilidad de que se presenten nuevos casos.</t>
  </si>
  <si>
    <t>Verificar por medio de un muestreo si se investigan los incidentes, accidentes de trabajo y las enfermedades laborales con la participación del COPASST.</t>
  </si>
  <si>
    <t>Identificación de peligros y evaluación y valoración de riesgos</t>
  </si>
  <si>
    <t>Identificar peligros, evaluar y valorar los riesgos y establecer controles que prevengan efectos adversos en la salud de los trabajadores.</t>
  </si>
  <si>
    <t>Mantenimiento periódico de instalaciones, equipos, máquinas y herramientas</t>
  </si>
  <si>
    <t>Realizar los mantenimientos periódicos de instalaciones, equipo, máquinas y herramientas, de acuerdo con los manuales y/o las fichas técnicas de los mismos.</t>
  </si>
  <si>
    <t>Solicitar documento con los reportes del mantenimiento de instalaciones, equipos, máquinas y herramientas realizado.</t>
  </si>
  <si>
    <t>Entrega de !os elementos de protección personal – EPP y capacitación en uso adecuado</t>
  </si>
  <si>
    <t>Realizar la entrega de los elementos de protección personal, acorde con el oficio u ocupación que desempeñan los trabajadores y capacitar sobre el uso adecuado de los mismos.</t>
  </si>
  <si>
    <t>Plan de prevención, preparación y respuesta ante emergencias</t>
  </si>
  <si>
    <t>Elaborar el plan de prevención, preparación y respuesta ante emergencias.</t>
  </si>
  <si>
    <t>Solicitar el plan de prevención, preparación y respuesta ante emergencias y constatar evidencias de su divulgación.</t>
  </si>
  <si>
    <t>Brigada de prevención, preparación y respuesta ante emergencias</t>
  </si>
  <si>
    <t>Solicitar el documento de conformación de la brigada de prevención, preparación y respuesta ante emergencias y verificar los soportes de la capacitación y entrega de la dotación</t>
  </si>
  <si>
    <t>Revisión por la alta dirección.</t>
  </si>
  <si>
    <t>Revisar como mínimo una (1) vez al año, por parte de la alta dirección los resultados del Sistema de Gestión de SST.</t>
  </si>
  <si>
    <t>ITEM</t>
  </si>
  <si>
    <t>Asignación de una persona que diseñe e implemente el Sistema de Gestión de SST</t>
  </si>
  <si>
    <t>Asignación de responsabilidades en SST</t>
  </si>
  <si>
    <t>Solicitar el soporte que contenga la asignación de las responsabilidades en SST</t>
  </si>
  <si>
    <t>Asignación de recursos para el Sistema de Gestión en SST</t>
  </si>
  <si>
    <t>Identificación de trabajadores que se dediquen en forma permanente a actividades de alto riesgo y cotización de pensión especial</t>
  </si>
  <si>
    <t>En el caso que aplique, identificar a los trabajadores que se dediquen en forma permanente al ejercicio de las actividades de alto riesgo establecidas en el Decreto 2090 de 2003 o de las normas que lo adicionen, modifiquen o complementen y cotizar el monto establecido en la norma, al Sistema de Pensiones</t>
  </si>
  <si>
    <t>En los casos en que aplique, verificar si se tienen identificados los trabajadores que se dedican en forma permanente al ejercicio de las actividades de alto riesgo de que trata el Decreto 2090 de 2003 y si se ha realizado el pago de la cotización especial señalado en dicha norma.</t>
  </si>
  <si>
    <t>Conformar y garantizar el funcionamiento del Comité Paritario de Seguridad y Salud en el Trabajo – COPASST.</t>
  </si>
  <si>
    <t>Capacitación de los integrantes del COPASST</t>
  </si>
  <si>
    <t>Solicitar documentos que evidencien las actividades de capacitación brindada a los integrantes del COPASST.</t>
  </si>
  <si>
    <t>Conformación y funcionamiento del Comité de Convivencia Laboral</t>
  </si>
  <si>
    <t>Conformar y garantizar el funcionamiento del Comité de Convivencia Laboral de acuerdo con la normatividad vigente.</t>
  </si>
  <si>
    <t>Programa de capacitación anual</t>
  </si>
  <si>
    <t>Curso Virtual de capacitación de cincuenta (50) horas en SST</t>
  </si>
  <si>
    <t>Objetivos de SST</t>
  </si>
  <si>
    <t>Revisar si los objetivos se encuentran definidos, cumplen con las condiciones mencionadas en el criterio y si existen evidencias del proceso de difusión.</t>
  </si>
  <si>
    <t>Evaluación Inicial del Sistema de Gestión</t>
  </si>
  <si>
    <t>Solicitar el plan de trabajo anual. Verificar el cumplimiento del mismo. En el caso que se hayan presentado incumplimientos al plan, solicitar los planes de mejora respectivos.</t>
  </si>
  <si>
    <t>Contar con un sistema de archivo y retención documental, para los registros y documentos que soportan el Sistema de Gestión de SST.</t>
  </si>
  <si>
    <t>Realizar anualmente la Rendición de Cuentas del desarrollo del Sistema de Gestión de SST, que incluya a todos los niveles de la empresa.</t>
  </si>
  <si>
    <t>Matriz legal</t>
  </si>
  <si>
    <t>Definir la matriz legal que contemple las normas actualizadas del Sistema General de Riesgos Laborales aplicables a la empresa.</t>
  </si>
  <si>
    <t>Mecanismos de comunicación</t>
  </si>
  <si>
    <t>Disponer de mecanismos eficaces para recibir y responder las comunicaciones internas y externas relativas a la Seguridad y Salud en el Trabajo, como por ejemplo auto reporte de condiciones de trabajo y de salud por parte de los trabajadores o contratistas.</t>
  </si>
  <si>
    <t>Constatar la existencia de mecanismos eficaces de comunicación interna y externa que tiene la empresa en materia de Seguridad y Salud en el Trabajo.</t>
  </si>
  <si>
    <t>Establecer un procedimiento para la identificación y evaluación de las especificaciones en SST de las compras y adquisición de productos y servicios.</t>
  </si>
  <si>
    <t>Verificar la existencia de un procedimiento para la identificación y evaluación de las especificaciones en SST de las compras o adquisición de productos y servicios y constatar su cumplimiento.</t>
  </si>
  <si>
    <t>Evaluación y selección de proveedores y contratistas</t>
  </si>
  <si>
    <t>Solicitar el documento que señale los criterios relacionados con SST para la evaluación y selección de proveedores cuando la empresa los haya establecido.</t>
  </si>
  <si>
    <t>Gestión del cambio</t>
  </si>
  <si>
    <t>Disponer de un procedimiento para evaluar el impacto sobre la Seguridad y Salud en el Trabajo que se pueda generar por cambios internos o externos.</t>
  </si>
  <si>
    <t>Solicitar el documento que contenga el procedimiento.</t>
  </si>
  <si>
    <t>Recolectar la siguientes información actualizada de todos los trabajadores del último año: la descripción socio demográfica de los trabajadores (edad, sexo, escolaridad, estado civil) y el diagnóstico de condiciones de salud que incluya la caracterización de sus condiciones de salud, la evaluación y análisis de las estadísticas sobre la salud de los trabajadores tanto de origen laboral como común y los resultados de las evaluaciones médicas ocupacionales.</t>
  </si>
  <si>
    <t>Desarrollar las actividades de medicina del trabajo, prevención y promoción de la salud y programas de vigilancia epidemiológica requeridos, de conformidad con las prioridades identificadas en el diagnóstico de condiciones de salud y con los peligros/riesgos prioritarios.</t>
  </si>
  <si>
    <t>Perfiles de cargos</t>
  </si>
  <si>
    <t>Tener la custodia de las historias clínicas a cargo de una institución prestadora de servicios en SST o del médico que practica las evaluaciones médicas ocupacionales.</t>
  </si>
  <si>
    <t>Evidenciar los soportes que demuestren que la custodia de las historias clínicas esté a cargo de una institución prestadora de servicios en SST o del médico que practica las evaluaciones médicas ocupacionales.</t>
  </si>
  <si>
    <t>Restricciones y recomendaciones médico laborales</t>
  </si>
  <si>
    <t>Estilos de vida y entorno saludable</t>
  </si>
  <si>
    <t>Elaborar y ejecutar un programa para promover entre los trabajadores, estilos de vida y entornos de trabajo saludable, incluyendo campañas específicas tendientes a la prevención y el control de la fármaco dependencia, el alcoholismo y el tabaquismo, entre otros.</t>
  </si>
  <si>
    <t>Solicitar el programa respectivo y los documentos y registros que evidencien el cumplimiento del mismo.</t>
  </si>
  <si>
    <t>Servicios de higiene</t>
  </si>
  <si>
    <t>Investigación de incidentes, accidentes de trabajo y las enfermedades cuando sean diagnosticadas como laborales</t>
  </si>
  <si>
    <t>Investigar los incidentes y todos los accidentes de trabajo y las enfermedades cuando sean diagnosticadas como laborales con la participación del COPASST, determinando las causas básicas e inmediatas y la posibilidad de que se presenten nuevos casos.</t>
  </si>
  <si>
    <t>Registro y análisis estadístico de accidentes de trabajo y enfermedades laborales</t>
  </si>
  <si>
    <t>Proporción de accidentes de trabajo mortales</t>
  </si>
  <si>
    <t>Identificación de peligros y evaluación y valoración de riesgos con participación de todos los niveles de la empresa</t>
  </si>
  <si>
    <t>Mediciones ambientales</t>
  </si>
  <si>
    <t>Aplicación de medidas de prevención y control por parte de los trabajadores</t>
  </si>
  <si>
    <t>Verificar la aplicación por parte de los trabajadores de las medidas de prevención y control de los peligros/riesgos (físicos, ergonómicos, biológicos, químicos, de seguridad, públicos, psicosociales, entre otros).</t>
  </si>
  <si>
    <t>Inspecciones a instalaciones, maquinaria o equipos</t>
  </si>
  <si>
    <t>Conformar, capacitar y dotar la brigada de prevención, preparación y respuesta ante emergencias (primeros auxilios, contra incendios, evacuación, etc.), según las necesidades y el tamaño de la empresa.</t>
  </si>
  <si>
    <t>Solicitar el documento de conformación de la brigada de prevención, preparación y respuesta ante emergencias y verificar los soportes de la capacitación y entrega de la dotación.</t>
  </si>
  <si>
    <t>Definición de indicadores del Sistema de Gestión de Seguridad y Salud en el Trabajo</t>
  </si>
  <si>
    <t>Auditoría anual</t>
  </si>
  <si>
    <t>Solicitar a la empresa los soportes que den cuenta del alcance de la auditoría, verificando el cumplimiento de los aspectos señalados en los numerales del artículo 2.2.4.6.30 del Decreto número 1072 de 2015.</t>
  </si>
  <si>
    <t>Definir e implementar las acciones preventivas y/o correctivas necesarias con base en los resultados de la supervisión, inspecciones, medición de los indicadores del Sistema de Gestión de SST entre otros, y las recomendaciones del COPASST.</t>
  </si>
  <si>
    <t>Solicitar la evidencia documental de la implementación de las acciones preventivas y/o correctivas.</t>
  </si>
  <si>
    <t>Cuando después de la revisión por la Alta Dirección del Sistema de Gestión de SST se evidencie que las medidas de prevención y control relativas a los peligros y riesgos son inadecuadas o pueden dejar de ser eficaces, la empresa toma las medidas correctivas, preventivas y/o de mejora para subsanar lo detectado.</t>
  </si>
  <si>
    <t>Solicitar la evidencia documental de las acciones correctivas, preventivas y/o de mejora que se implementaron según lo detectado en la revisión por la Alta Dirección del Sistema de Gestión de Seguridad y Salud en el Trabajo.</t>
  </si>
  <si>
    <t>Definir e implementar las acciones preventivas y/o correctivas necesarias con base en los resultados de las investigaciones de los accidentes de trabajo y la determinación de sus causas básicas e inmediatas, así como de las enfermedades laborales.</t>
  </si>
  <si>
    <t>Plan de mejoramiento</t>
  </si>
  <si>
    <t>Implementar las medidas y acciones correctivas producto de requerimientos o recomendaciones de autoridades administrativas y de las administradoras de riesgos laborales.</t>
  </si>
  <si>
    <t>Solicitar las evidencias de las acciones correctivas realizadas en respuesta a los requerimientos o recomendaciones de las autoridades administrativas y de las administradoras de riesgos laborales.</t>
  </si>
  <si>
    <t>No.</t>
  </si>
  <si>
    <t>ESTANDAR</t>
  </si>
  <si>
    <t>DESCRIPCION ESTANDAR</t>
  </si>
  <si>
    <t>ITEM ESTANDAR</t>
  </si>
  <si>
    <t>NOTA</t>
  </si>
  <si>
    <t>FECHA GRABADO</t>
  </si>
  <si>
    <t/>
  </si>
  <si>
    <t>%ITEM</t>
  </si>
  <si>
    <t>%CICLO</t>
  </si>
  <si>
    <t>%EST</t>
  </si>
  <si>
    <t>Total items NO cumple</t>
  </si>
  <si>
    <t>.</t>
  </si>
  <si>
    <t>Razón Social</t>
  </si>
  <si>
    <t>Evaluaciones realizadas</t>
  </si>
  <si>
    <t>Resultado</t>
  </si>
  <si>
    <t>Conformación y funcionamiento del COPASST</t>
  </si>
  <si>
    <t>Custodia de las historias clínicas</t>
  </si>
  <si>
    <t>N.I.T.</t>
  </si>
  <si>
    <t>N.I.T</t>
  </si>
  <si>
    <t>Fecha de evaluación:</t>
  </si>
  <si>
    <t>No. Trabajadores</t>
  </si>
  <si>
    <t>Unid agrop</t>
  </si>
  <si>
    <t>U. de Prod. Agropecuaria?</t>
  </si>
  <si>
    <t>10 o menos tr</t>
  </si>
  <si>
    <t>Riesgos 123</t>
  </si>
  <si>
    <t>11 a 50 tr</t>
  </si>
  <si>
    <t>51 o mas tr</t>
  </si>
  <si>
    <t>Riesgos 4,5</t>
  </si>
  <si>
    <t>No. de Items a evaluar</t>
  </si>
  <si>
    <t>Art 7</t>
  </si>
  <si>
    <t>Art 3</t>
  </si>
  <si>
    <t>Art 9</t>
  </si>
  <si>
    <t>Filtro</t>
  </si>
  <si>
    <t>&gt;50 tr, clase 4,5</t>
  </si>
  <si>
    <t>PARA MAPPING VIEJO</t>
  </si>
  <si>
    <t>PARA GRABAR</t>
  </si>
  <si>
    <t>(En mapping nuevo sugiero solo item, respuesta, plan de accion para no)  Rtas 0 Si, No, No cumple, Sin evaluar</t>
  </si>
  <si>
    <t>EMPRESA</t>
  </si>
  <si>
    <t>Puntaje</t>
  </si>
  <si>
    <t>Rta</t>
  </si>
  <si>
    <t>NIT</t>
  </si>
  <si>
    <t>Unid Agr</t>
  </si>
  <si>
    <t>Riesgo</t>
  </si>
  <si>
    <t>Trab</t>
  </si>
  <si>
    <t>Si</t>
  </si>
  <si>
    <t>No</t>
  </si>
  <si>
    <t>Total items cumple</t>
  </si>
  <si>
    <t>VALORACIÓN</t>
  </si>
  <si>
    <t>Items cumple</t>
  </si>
  <si>
    <t>Items No cumple</t>
  </si>
  <si>
    <t>Items No Aplica</t>
  </si>
  <si>
    <t>Valoracion</t>
  </si>
  <si>
    <t>Criterios. Empresas de más de cincuenta (50) trabajadores riesgo I, II, III, IV, ó V y las de cincuenta (50) o menos trabajadores riesgo IV Ó V</t>
  </si>
  <si>
    <t>Asignar una persona que cumpla con el siguiente perfil:
El diseño e implementación del Sistema de Gestión de SST podrá ser realizado profesionales en SST, profesionales con posgrado en SST, que cuenten con licencia en Seguridad y Salud en el Trabajo vigente y el curso de capacitación virtual de cincuenta (50) horas</t>
  </si>
  <si>
    <t>Solicitar el documento en el que consta la asignación, con la respectiva determinación de responsabilidades y constatar la hoja de vida con soportes, de la persona asignada</t>
  </si>
  <si>
    <t>Asignar una persona que cumpla con el siguiente perfil:
El diseño del Sistema de Gestión de SST puede ser realizado por un tecnólogo en Seguridad y Salud en el Trabajo o en alguna de sus áreas, con  licencia vigente en SST, que acredite mínimo dos (2) años de experiencia certificada por las empresas o entidades en las que laboró en el desarrollo de actividades de seguridad y salud en el trabajo y que certifique la aprobación del curso de capacitación virtual de cincuenta (50) horas.
Esta actividad también podrá ser desarrollada por profesionales en SST y profesionales con posgrado en SST, que cuenten con licencia vigente en SST y el referido curso de capacitación virtual de cincuenta (50) horas.</t>
  </si>
  <si>
    <t>Asignar y documentar las responsabilidades específicas en el Sistema de Gestión SST a todos los niveles de la organización, para el desarrollo y mejora continua de dicho Sistema.</t>
  </si>
  <si>
    <t>Definir y asignar el talento humano, los recursos financieros, técnicos y tecnológicos, requeridos para la implementación, mantenimiento y continuidad del Sistema de Gestión de SST.</t>
  </si>
  <si>
    <t>Constatar la existencia de evidencias físicas que demuestren la definición y asignación del talento humano, los recursos financieros, técnicos y de otra índole para la implementación, mantenimiento y continuidad del Sistema de Gestión de SST, evidenciando la asignación de recursos con base en el plan de trabajo anual.</t>
  </si>
  <si>
    <t>Garantizar que todos los trabajadores, independientemente de su forma de vinculación o contratación están afiliados al Sistema de Seguridad Social en Salud, Pensión y Riesgos  Laborales.</t>
  </si>
  <si>
    <t>Solicitar documento soporte de afiliación y del pago correspondiente</t>
  </si>
  <si>
    <t>Capacitar a los  integrantes del COPASST para el cumplimiento efectivo de las responsabilidades que les asigna la ley.</t>
  </si>
  <si>
    <t>Solicitar el documento de conformación del Comité de Convivencia Laboral y verificar que esté integrado de acuerdo a la normativa y que se encuentra vigente.
Solicitar las actas de las reuniones (como mínimo una reunión cada tres (3) meses) y los informes de Gestión del Comité de Convivencia Laboral, verificando el desarrollo de sus funciones.</t>
  </si>
  <si>
    <t>Elaborar y ejecutar el programa de capacitación anual en promoción y prevención, que incluye lo referente a los peligros/riesgos prioritarios y las medidas de prevención y control, extensivo a todos los niveles de la organización.</t>
  </si>
  <si>
    <t>Elaborar y ejecutar programa o actividades de capacitación en  promoción y prevención, que incluya como mínimo lo referente a  los peligros/riesgos prioritarios y las medidas de prevención y control.</t>
  </si>
  <si>
    <t>Solicitar documento soporte de las acciones de capacitación realizadas/planillas, donde se evidencie la firma de los trabajadores</t>
  </si>
  <si>
    <t>Inducción y re inducción en SST</t>
  </si>
  <si>
    <t>Realizar actividades de inducción y reinducción, las cuales deben estar incluidas en el programa de capacitación, dirigidas a todos los trabajadores, independientemente de su forma de vinculación y/o contratación, de manera previa al inicio de sus labores, en aspectos generales y específicos de las actividades o funciones a realizar que incluya entre otros, la identificación de peligros y control de los riesgos en su trabajo y la prevención de accidentes de trabajo y enfermedades laborales.</t>
  </si>
  <si>
    <t>Solicitar la lista de trabajadores, participantes independientemente de su forma de vinculación y/o contratación, y verificar los soporte documentales que den cuenta de la inducción y reinducción de conformidad con el criterio. La referencia es el programa de capacitación y su cumplimiento.
Para realizar la verificación tener en cuenta:
En empresas entre cincuenta y uno (51) y doscientos (200) trabajadores, verificar el 10%.
En empresas con doscientos uno
(201) trabajadores en adelante,
verificar los soportes para 30
trabajadores.</t>
  </si>
  <si>
    <t>El responsable del Sistema de Gestión de SST realiza el curso de capacitación virtual de cincuenta (50) horas en SST definido por el Ministerio del Trabajo.</t>
  </si>
  <si>
    <t>Solicitar el certificado de aprobación del curso de capacitación virtual de cincuenta (50) horas en SST definido por el Ministerio del Trabajo, expedido a nombre del responsable del Sistema de Gestión de Seguridad y Salud en el Trabajo</t>
  </si>
  <si>
    <t>Solicitar la política del Sistema de Gestión de SST de la empresa y confirmar que cumpla con los aspectos contenidos en el criterio.
Validar para la revisión anual de la política como mínimo: fecha de emisión, firmada por el representante legal actual, que estén incluidos los requisitos normativos actuales.
Entrevistar a los miembros del COPASST para indagar el conocimiento de la política en SST</t>
  </si>
  <si>
    <t>Definir los objetivos del Sistema de Gestión de SST de conformidad con la política de SST, los cuales deben ser claros, medibles, cuantificables y tener metas, coherentes con el plan de trabajo anual, compatibles con la normatividad vigente, se encuentran documentados, son comunicados a los trabajadores, son revisados y evaluados mínimo una vez al año, actualizados de ser necesario y se encuentran en documento firmado por el empleador.</t>
  </si>
  <si>
    <t>Realizar la evaluación inicial del Sistema de Gestión de SST, identificando las prioridades para establecer el plan de trabajo anual o para la actualización del existente.
Debe ser realizada por el responsable del Sistema de Gestión de SST o contratada por la empresa con personal externo con licencia en Seguridad y Salud en el Trabajo.</t>
  </si>
  <si>
    <t>Solicitar la evaluación inicial del Sistema de Gestión de SST mediante la matriz legal, matriz de peligros y evaluación de riesgos, verificación de controles, lista de asistencia a capacitaciones, análisis de puestos de trabajo, exámenes médicos de ingreso y periódicos y seguimiento de indicadores, entre otros.</t>
  </si>
  <si>
    <t>Diseñar y definir un plan anual de trabajo para el cumplimiento del Sistema de Gestión de SST, el cual identifica los objetivos, metas, responsabilidades, recursos, cronograma de actividades, firmado por el empleador y el responsable del Sistema de Gestión de SST.</t>
  </si>
  <si>
    <t>Elaborar el Plan Anual de Trabajo del Sistema de Gestión de SST firmado por el empleador o contratante, en el que se identifiquen como mínimo: objetivos, metas, responsabilidades, recursos y cronograma anual.</t>
  </si>
  <si>
    <t>Elaborar el Plan Anual de Trabajo firmado por el empleador o contratante, en el que se identifiquen como mínimo: objetivos, metas, responsabilidades, recursos y cronograma anual.
Evidencias de actividades del COPASST.</t>
  </si>
  <si>
    <t>Constatar la existencia de un sistema de archivo y retención documental, para los registros y documentos que soportan el Sistema de Gestión de SST.
Verificar mediante muestreo que los registros y documentos sean legibles (entendible para el lector objeto), fácilmente identificables y accesibles (para todos los que estén vinculados con cada documento en particular), protegidos contra daño y pérdida</t>
  </si>
  <si>
    <t>Mantener el archivo de los siguientes documentos, por el término establecido en la normatividad vigente:
Política en Seguridad y Salud en el Trabajo.
Identificación de peligros en todos los cargos/oficios y áreas.
Conceptos exámenes médicos ocupacionales
Plan de emergencias
Afiliación a Seguridad Social
Comunicaciones de trabajadores, ARL o autoridades en materia de Riesgos Laborales</t>
  </si>
  <si>
    <t>Solicitar los registros documentales que evidencien la rendición de cuentas anual, al interior de la empresa.
Solicitar a la empresa los mecanismos de rendición de cuentas que haya definido y verificar que se haga y se cumplan con los criterios del requisito.
La rendición de cuentas debe incluir todos los niveles de la empresa ya que en cada uno de ellos hay responsabilidades sobre la Seguridad y Salud en el Trabajo.</t>
  </si>
  <si>
    <t>Solicitar la matriz legal.
Verificar que contenga:
- Normas vigentes en riesgos laborales, aplicables a la empresa.
- Normas técnicas de cumplimiento de acuerdo con los peligros / riesgos identificados en la empresa.
- Normas vigentes de diferentes entidades que le apliquen relacionadas con los riesgos laborales.</t>
  </si>
  <si>
    <t>Identificación y evaluación para la adquisición de  bienes y servicios</t>
  </si>
  <si>
    <t>Establecer los aspectos de SST que podrá tener en cuenta la empresa en la evaluación y selección de proveedores y contratistas.</t>
  </si>
  <si>
    <t>Descripción socio demográfica y Diagnóstico de las condiciones de salud de los trabajadores</t>
  </si>
  <si>
    <t>Solicitar el documento consolidado con la información socio demográfica acorde con lo requerido en el criterio y el diagnóstico de condiciones de salud.</t>
  </si>
  <si>
    <t>Solicitar documento que contenga el perfil sociodemográfico y el diagnóstico de condiciones de salud</t>
  </si>
  <si>
    <t>Solicitar las evidencias que constaten la definición y ejecución de las actividades de medicina del trabajo, promoción y prevención y los programas de vigilancia epidemiológica, de conformidad con las prioridades que se identificaron con base en los resultados del diagnóstico de las condiciones de salud y los peligros/riesgos de intervención prioritarios.</t>
  </si>
  <si>
    <t>Solicitar las evidencias que constaten la definición y ejecución de las actividades de medicina del trabajo, promoción y prevención de conformidad con las prioridades que se identificaron con base en los resultados del diagnóstico de las condiciones de salud</t>
  </si>
  <si>
    <t>Informar al médico que realiza las evaluaciones
ocupacionales los perfiles de cargos con una descripción de las tareas y el medio en el cual se desarrollará la labor respectiva.</t>
  </si>
  <si>
    <t>Verificar que se le remitieron al médico que realiza las evaluaciones ocupacionales, los soportes documentales respecto de los perfiles de cargos, descripción de las tareas y el medio en el cual desarrollarán la labor los trabajadores</t>
  </si>
  <si>
    <t>Realizar las evaluaciones médicas de acuerdo con la normatividad y los peligros/riesgos a los cuales se encuentre expuesto el trabajador.
Definir la frecuencia de las evaluaciones médicas ocupacionales periódicas según tipo, magnitud, frecuencia de exposición a cada peligro, el estado de salud del trabajador, las recomendaciones de los sistemas de vigilancia epidemiológica y la legislación vigente.
Comunicar por escrito al trabajador los resultados de las evaluaciones médicas ocupacionales los cuales reposarán en su historia médica.</t>
  </si>
  <si>
    <t>Solicitar los conceptos de aptitud que demuestren la realización de las evaluaciones médicas.
Solicitar el documento o registro que evidencie la definición de la frecuencia de las evaluaciones médicas periódicas.
Solicitar el documento que evidencie la comunicación por escrito al trabajador de los resultados de las evaluaciones médicas ocupacionales.</t>
  </si>
  <si>
    <t>Cumplir las restricciones y recomendaciones médicos laborales realizadas por parte de la Empresa Promotora de Salud (EPS) o Administradora de Riesgos Laborales (ARL) prescritas a los trabajadores  para la realización de sus funciones.
Adecuar el puesto de trabajo, reubicar al trabajador o realizar la readaptación laboral cuando se requiera.
Entregar a quienes califican en primera oportunidad y/o a las Juntas de Calificación de Invalidez los documentos que son responsabilidad del empleador conforme a las normas, para la calificación de origen y pérdida de la capacidad laboral.</t>
  </si>
  <si>
    <t>Solicitar documento de recomendaciones y restricciones médico laborales a trabajadores y constatar las evidencias de que la empresa las ha acatado ha realizado las acciones que se requieran en materia de reubicación o readaptación.
Solicitar soporte de recibido por parte de quienes califican en primera oportunidad y/o a las Juntas de Calificación de Invalidez, de los documentos que corresponde remitir al empleador para efectos del proceso de calificación de origen y pérdida de capacidad laboral.</t>
  </si>
  <si>
    <t>Cumplir las recomendaciones y restricciones que realizan las Entidades Promotoras de Salud y/o Administradoras de Riesgos Laborales, emitidas por los médicos tratantes, de acuerdo con la normatividad vigente.Entregar a quienes califican en primera oportunidad y/o a las Juntas de Calificación de Invalidez los documentos que son responsabilidad del empleador conforme a las normas, para la calificación de origen y pérdida de la capacidad laboral.</t>
  </si>
  <si>
    <t>Solicitar las recomendaciones emitidas por la EPS, o ARL y el soporte de la actuación de la empresa frente a las mismas.
Solicitar soporte de recibido por parte de quienes califican en primera oportunidad y/o a las Juntas de Calificación de Invalidez, de los documentos que corresponde remitir al empleador para efectos del proceso de calificación de origen y pérdida de capacidad laboral</t>
  </si>
  <si>
    <t>Contar con un suministro permanente de agua potable, servicios sanitarios y mecanismos para disponer excretas y basuras.</t>
  </si>
  <si>
    <t>Verificar mediante observación
directa si se cumple lo exigido en el criterio, dejando soporte fílmico o fotográfico al respecto.</t>
  </si>
  <si>
    <t>Manejo de residuos</t>
  </si>
  <si>
    <t>Eliminar los residuos sólidos, líquidos o gaseosos que se producen, así como los residuos peligrosos, de forma que no se ponga en riesgo a los trabajadores.</t>
  </si>
  <si>
    <t>Constatar mediante observación
directa, las evidencias donde se dé cuenta de los procesos de eliminación de residuos conforme al criterio.
Solicitar contrato de empresa que elimina y dispone de los residuos peligrosos cuando se requiera dicha disposición.</t>
  </si>
  <si>
    <t>Indagar con los trabajadores si se han presentado accidentes de trabajo o enfermedades laborales (en caso afirmativo, tomar los datos de nombre y número de cédula y solicitar el reporte). Igualmente, realizar un muestreo del reporte de registro de accidente de trabajo (FURAT) y el registro de enfermedades laborales (FUREL) respectivo, verificando si el reporte a las Administradoras de Riesgos Laborales, Empresas Promotoras de Salud y Dirección Territorial se hizo dentro de los dos (2) días hábiles siguientes al evento o recibo del diagnóstico de la enfermedad.</t>
  </si>
  <si>
    <t>Reportar a la Administradora de Riesgos Laborales (ARL) y a la Entidad Promotora de Salud (EPS) todos los accidentes y las enfermedades laborales diagnosticadas.
Reportar a la Dirección Territorial del Ministerio del Trabajo que corresponda los accidentes graves y mortales, así como como (sic) las enfermedades diagnosticadas como laborales.
Estos reportes se realizan dentro de los dos (2) días hábiles siguientes al evento o recibo del diagnóstico de la enfermedad.</t>
  </si>
  <si>
    <t>Indagar con los trabajadores si se han presentado accidentes de trabajo o enfermedades laborales (en caso afirmativo, tomar los datos de nombre y número de cédula y solicitar el reporte).
Igualmente, realizar un muestreo del reporte de registro de accidente de trabajo (FURAT) y el registro de enfermedades laborales (FUREL) respectivo, verificando si el reporte a las Administradoras de Riesgos Laborales, Empresas Promotoras de Salud y Dirección Territorial se hizo dentro de los dos (2) días hábiles siguientes al evento o recibo del diagnóstico de la enfermedad.</t>
  </si>
  <si>
    <t>Verificar por medio de un muestreo si se investigan los incidentes, accidentes de trabajo y las enfermedades laborales con la participación del COPASST, y si se definieron acciones para otros trabajadores potencialmente expuestos.
Constatar que las investigaciones se hayan realizado dentro de los quince (15) días siguientes a su ocurrencia a través del equipo investigador y evidenciar que se hayan remitido los informes de las  investigaciones de accidente de trabajo grave o mortal o de enfermedad laboral mortal.
En caso de accidente grave o se produzca la muerte, verificar la participación de un profesional con licencia en Seguridad y Salud en el Trabajo en la investigación  (propio o contratado), así como del Comité Paritario de SST.</t>
  </si>
  <si>
    <t>Llevar registro estadístico de los accidentes de trabajo que ocurren así como de las enfermedades laborales que se presentan; se analiza este registro y las conclusiones derivadas del estudio son usadas para el mejoramiento del Sistema de Gestión de SST.</t>
  </si>
  <si>
    <t>Solicitar el registro estadístico actualizado de lo corrido del año y el año inmediatamente anterior al de la visita, así como la evidencia que contiene el análisis y las conclusiones derivadas del estudio que son usadas para el mejoramiento del Sistema de Gestión de SST.</t>
  </si>
  <si>
    <t>Frecuencia de  accidentalidad</t>
  </si>
  <si>
    <t>Medir la frecuencia de los accidentes como mínimo una (1) vez al mes y realizar la clasificación del origen del peligro/riesgo que los generó (físicos, de químicos, biológicos, seguridad, públicos, psicosociales, entre otros.).</t>
  </si>
  <si>
    <t>Solicitar los resultados de la medición para lo corrido del año y/o el año inmediatamente anterior y constatar el comportamiento de la frecuencia de los accidentes y la relación del evento con los peligros/riesgos identificados.</t>
  </si>
  <si>
    <t>Medir la severidad de los accidentes de trabajo como mínimo una (1) vez al mes y realizar la clasificación del origen del peligro/riesgo que los generó (físicos, químicos, biológicos, de seguridad, públicos, psicosociales, entre otros).</t>
  </si>
  <si>
    <t>Solicitar los resultados de la medición para lo corrido del año y/o el año inmediatamente anterior y constatar el comportamiento de la severidad y la relación del evento con los peligros/riesgos identificados.</t>
  </si>
  <si>
    <t>Medir la mortalidad por accidentes como mínimo una (1) vez al año y realizar la clasificación del origen del peligro/riesgo que los generó (físicos, químicos, biológicos, de seguridad, públicos, psicosociales, entre otros).</t>
  </si>
  <si>
    <t>Solicitar los resultados de la medición para lo corrido del año y/o el año inmediatamente anterior y constatar el comportamiento de la mortalidad y la relación del evento con los peligros/riesgos identificados.</t>
  </si>
  <si>
    <t>Medir la prevalencia de la enfermedad laboral como mínimo una (1) vez al año y realizar la clasificación del origen del peligro/riesgo que la generó (físico, químico, biológico, ergonómico o biomecánico, psicosocial, entre otros).</t>
  </si>
  <si>
    <t>Solicitar los resultados de la medición para lo corrido del año y/o el año inmediatamente anterior y constatar el comportamiento de la prevalencia de las enfermedades laborales y la relación del evento con los peligros/riesgos identificados.</t>
  </si>
  <si>
    <t>Medir la incidencia de la enfermedad laboral como mínimo una (1) vez al año y realizar la clasificación del origen del peligro/riesgo que la generó (físicos, químicos, biológicos, ergonómicos o biomecánicos, psicosociales, entre otros).</t>
  </si>
  <si>
    <t>Solicitar los resultados de la medición para lo corrido del año y/o el año inmediatamente anterior y constatar el comportamiento de la incidencia de las enfermedades laborales y la relación del evento con los peligros/riesgos identificados.</t>
  </si>
  <si>
    <t>Medir el ausentismo por incapacidad de origen laboral y común, como mínimo una (1) vez al mes y realizar la clasificación del origen del peligro/riesgo que lo generó (físicos, ergonómicos, o biomecánicos, químicos, de seguridad, públicos, psicosociales, entre otros).</t>
  </si>
  <si>
    <t>Solicitar los resultados de la medición para lo corrido del año y/o el año inmediatamente anterior y constatar el comportamiento del ausentismo y la relación del evento con los peligros/riesgos.</t>
  </si>
  <si>
    <t>Metodología para identificación de peligros, evaluación y valoración de riesgos</t>
  </si>
  <si>
    <t>Definir y aplicar una metodología para la identificación de peligros y evaluación y valoración de los riesgos de origen físico, ergonómico o biomecánico, biológico, químico, de seguridad, público, psicosocial, entre otros, con alcance sobre todos los procesos, actividades rutinarias y no rutinarias, maquinaria y equipos en todos los centros de trabajo y respecto de todos los trabajadores independientemente de su forma de vinculación y/o contratación.
Identificar con base en la valoración de los riesgos, aquellos que son prioritarios.</t>
  </si>
  <si>
    <t>Realizar la identificación de peligros y evaluación y valoración de los riesgos con participación de los trabajadores de todos los niveles de la empresa y actualizarla como mínimo una (1) vez al año y cada vez que ocurra un accidente de trabajo mortal o un evento catastrófico en la empresa o cuando se presenten cambios en los procesos, en las instalaciones, o maquinaria o equipos.</t>
  </si>
  <si>
    <t>Solicitar documento donde se encuentre la identificación de peligros y valoración de riesgos.
Solicitar evidencias de las medidas de control implementadas.</t>
  </si>
  <si>
    <t>Identificación de sustancias catalogadas como carcinógenas o con toxicidad aguda</t>
  </si>
  <si>
    <t>En las empresas donde se procese, manipule o trabaje con sustancias o agentes catalogadas como carcinógenas o con toxicidad aguda, causantes de enfermedades, incluidas en la tabla de enfermedades laborales, priorizar los riesgos asociados a las mismas y realizar acciones de prevención e intervención al respecto.</t>
  </si>
  <si>
    <t>Realizar mediciones ambientales de los riesgos prioritarios, provenientes de peligros químicos, físicos y/o biológicos.</t>
  </si>
  <si>
    <t>Verificar los soportes documentales de las mediciones ambientales realizadas y la remisión de estos resultados al Comité Paritario de Seguridad y Salud en el Trabajo.</t>
  </si>
  <si>
    <t>Ejecutar las medidas de prevención y control con base en el resultado de la identificación de peligros, la evaluación y valoración de los riesgos (físicos, ergonómicos, biológicos, químicos, de seguridad, públicos, psicosociales, entre otros), incluidos los prioritarios y estas se ejecutan acorde con el esquema de jerarquización, de ser factible priorizar la intervención en la fuente y en el medio.</t>
  </si>
  <si>
    <t>Solicitar los soportes documentales implementados por la empresa donde se verifica el cumplimiento de las responsabilidades de los trabajadores frente a la aplicación de las medidas de prevención y control de los peligros/riesgos (físicos, ergonómicos, biológicos, químicos, de seguridad, públicos, psicosociales, entre otros).
Realizar visita a las instalaciones para verificar el cumplimiento de las medidas de prevención y control por parte de los trabajadores.</t>
  </si>
  <si>
    <t>Procedimientos e instructivos internos de seguridad y salud en el trabajo</t>
  </si>
  <si>
    <t>Elaborar procedimientos, instructivos y fichas técnicas de seguridad y salud en el trabajo cuando se requiera y entregarlos a los trabajadores.</t>
  </si>
  <si>
    <t>Solicitar los procedimientos, instructivos, fichas técnicas cuando aplique y protocolos de SST y el soporte de entrega de los mismos a los trabajadores.</t>
  </si>
  <si>
    <t>Elaborar formatos de registro para la realización de las visitas de inspección.
Realizar las visitas de inspección sistemática a las instalaciones, maquinaria o equipos, incluidos los relacionados con la prevención y atención de emergencias; con la participación del COPASST.</t>
  </si>
  <si>
    <t>Solicitar los formatos de registro de visitas de inspección elaborados.
Solicitar la evidencia de las visitas de inspección realizadas a las instalaciones, maquinaria y equipos, incluidos los relacionados con la prevención y atención de emergencias y verificar la participación del COPASST en las mismas.</t>
  </si>
  <si>
    <t>Realizar el mantenimiento periódico de las instalaciones, equipos, máquinas y herramientas, de acuerdo con los informes de las visitas de inspección o reportes de condiciones inseguras y los manuales y/o las fichas técnicas de los mismos.</t>
  </si>
  <si>
    <t>Solicitar la evidencia del mantenimiento preventivo y/o correctivo en las instalaciones, equipos, máquinas y herramientas, de acuerdo con los manuales de uso de estos y los informes de las visitas de inspección o reportes de condiciones inseguras.</t>
  </si>
  <si>
    <t>Entrega de los elementos de protección personal – EPP y capacitación en uso adecuado</t>
  </si>
  <si>
    <t>Suministrar a los trabajadores los elementos de protección personal que se requieran y reponerlos oportunamente, conforme al desgaste y condiciones de uso de los mismos.
Verificar que los contratistas y subcontratistas entregan los elementos de protección personal que se requiera a sus trabajadores y realizan la reposición de los mismos oportunamente, conforme al desgaste y condiciones de uso.
Realizar la capacitación para el uso de los elementos de protección personal.</t>
  </si>
  <si>
    <t>Solicitar la evidencia de la entrega de elementos de protección personal y de la ejecución de las correspondientes capacitaciones.</t>
  </si>
  <si>
    <t>Elaborar un plan de prevención, preparación y respuesta ante emergencias que identifique las amenazas, evalúe y analice la vulnerabilidad.
Como mínimo el plan debe incluir: planos de las instalaciones que identifican áreas y salidas de emergencia, así como la señalización, realización de simulacros como mínimo una (1) vez al año.
El plan debe tener en cuenta todas las jornadas de trabajo en todos los centros de trabajo y debe ser divulgado.</t>
  </si>
  <si>
    <t>Conformar, capacitar y dotar la brigada de prevención, preparación y respuesta ante emergencias.</t>
  </si>
  <si>
    <t>Definir indicadores que permitan evaluar el Sistema de Gestión de SST de acuerdo con las condiciones de la empresa, teniendo en cuenta los indicadores mínimos señalados en el Capítulo IV de la presente Resolución.
Tener disponibles los resultados de la evaluación del Sistema de Gestión de SST, de acuerdo con los indicadores mínimos de SST definidos en la presente Resolución.</t>
  </si>
  <si>
    <t>Solicitar los indicadores del Sistema de Gestión de SST definidos por la empresa.Solicitar informe con los resultados de la evaluación del Sistema de Gestión de SST, de acuerdo con los indicadores mínimos señalados en el presente acto administrativo.</t>
  </si>
  <si>
    <t>Realizar una auditoría anual, la cual será planificada con la participación del Comité Paritario de Seguridad y Salud en el Trabajo.</t>
  </si>
  <si>
    <t>Verificar soportes de la realización de auditorías internas al Sistema de Gestión de SST, con alcance a todas las áreas de la empresa, adelantadas por lo menos una (1) vez al año.
Solicitar el programa de la auditoría que deberá incluir entre otros aspectos, la definición de la idoneidad de la persona que sea auditora, el alcance de la auditoría, la periodicidad, la metodología y la presentación de informes y verificar que se haya planificado con la participación del COPASST.</t>
  </si>
  <si>
    <t>Revisión por la alta dirección. Alcance de la auditoria del Sistema de Gestión de SST</t>
  </si>
  <si>
    <t>Revisar como mínimo una (1) vez al año, por parte de la alta dirección, el Sistema de Gestión de SST, resultados y el alcance de la auditoría de cumplimiento del Sistema de Gestión de Seguridad y Salud en el Trabajo, de acuerdo con los aspectos señalados en el artículo 2.2.4.6.30 del Decreto número 1072 de 2015.</t>
  </si>
  <si>
    <t>Solicitar a la empresa los soportes que den cuenta de la revisión por la alta dirección de los resultados del Sistema de Gestión de SST.</t>
  </si>
  <si>
    <t>Planificación de la auditoria con el COPASST</t>
  </si>
  <si>
    <t>Revisar como mínimo una (1) vez al año, por parte de la alta dirección, el Sistema de Gestión de SST y comunicar los resultados al COPASST y al responsable del Sistema de Gestión de SST.</t>
  </si>
  <si>
    <t>Solicitar el documento donde conste la revisión anual por la alta dirección y la comunicación de los resultados al COPASST y al responsable del Sistema de Gestión de SST.</t>
  </si>
  <si>
    <t>Acciones preventivas y /o correctivas</t>
  </si>
  <si>
    <t>Acciones de mejora conforme a la revisión de la Alta Dirección</t>
  </si>
  <si>
    <t>Acciones de mejora con base en investigaciones de accidentes de trabajo y enfermedades laborales</t>
  </si>
  <si>
    <t>Solicitar la evidencia documental de las acciones de mejora planteadas conforme a los resultados de las investigaciones realizadas y verificar su efectividad.</t>
  </si>
  <si>
    <t>Solicitar el documento que contiene la metodología.
Verificar que se realiza la identificación de peligros, evaluación y valoración de los riesgos conforme a la metodología definida de acuerdo con el criterio y con la participación de los trabajadores, seleccionando de manera aleatoria algunas de las actividades identificadas. 
Confrontar mediante observación directa durante el recorrido a las instalaciones de la empresa la identificación de peligros.</t>
  </si>
  <si>
    <t>Solicitar las evidencias que den cuenta de la participación de los trabajadores en la identificación de peligros, evaluación y valoración de los riesgos, así como de la realización de dicha identificación con la periodicidad señalada en el criterio.
Solicitar información acerca de si ha habido eventos mortales o catastróficos y validar que el peligro asociado al evento esté identificado, evaluado y valorado. 
En los casos de que se encuentren valoraciones de riesgo no tolerable, verificar la implementación inmediata de las acciones de intervención y control.</t>
  </si>
  <si>
    <t>Revisar la lista de materias primas e insumos, productos intermedios o finales, subproductos y desechos y verificar si estas son o están compuestas por agentes o sustancias catalogadas como carcinógenas en el grupo 1 de la clasificación de la Agencia Internacional de Investigación sobre el Cáncer (International Agency for Research on Cancer, IARC) y con toxicidad aguda según los criterios del Sistema Globalmente Armonizado (categorías I y II).
Se debe verificar que los riesgos asociados a estas sustancias o agentes carcinógenos o con toxicidad aguda son priorizados y se realizan acciones de prevención e intervención.
Así mismo se debe verificar la existencia de áreas destinadas para el almacenamiento de las materias primas e insumos y sustancias catalogadas como carcinógenas y con toxicidad aguda.</t>
  </si>
  <si>
    <t>Solicitar evidencias de la ejecución de las medidas de prevención y control, de acuerdo con el esquema de jerarquización y la identificación de los peligros, la evaluación y valoración de los riesgos realizada.
Constatar que estas medidas se encuentran programadas en el plan anual de trabajo.
Verificar que efectivamente se dio prioridad a las medidas de prevención y control frente a los peligros/riesgos identificados como prioritarios.</t>
  </si>
  <si>
    <t>Solicitar los soportes que evidencien la entrega y reposición de los elementos de protección personal a los trabajadores.
Verificar los soportes del cumplimiento del criterio por parte de los contratistas y subcontratistas.
Verificar los soportes que evidencian la realización de la capacitación en el uso de los elementos de protección personal.</t>
  </si>
  <si>
    <t>Solicitar el plan de prevención, preparación y respuesta ante emergencias y constatar evidencias de su divulgación.
Verificar si existen los planos de las instalaciones que identifican áreas y salidas de emergencia y verificar si existe la debida señalización de la empresa.
Verificar los soportes que evidencien la realización de los simulacros y análisis de los mismos y validar que las recomendaciones emitidas con base en dicho análisis hayan sido tenidas en cuenta en el mejoramiento del plan de emergencias.</t>
  </si>
  <si>
    <t>Solicitar una lista de los trabajadores vinculados laboralmente a la fecha y comparar con la planilla de pago de aportes a la seguridad social de los cuatro (4) meses anteriores a la fecha de verificación.
Realizar el siguiente muestreo: En empresas entre cincuenta y uno (51) y doscientos (200) trabajadores verificar el 10%; Mayores a doscientos un (201) trabajadores verificar el registro de 30 trabajadores.
Solicitar una lista de los trabajadores vinculados por prestación de servicios a la fecha y comparar con la última planilla de pago de aportes a la seguridad social suministrada por los contratistas, Entre cincuenta y un (51) y doscientos (200) trabajadores verificar el 10%.; Mayores a doscientos un (201) trabajadores verificar el registro de 30 trabajadores.
De la muestra seleccionada verificar la afiliación al Sistema General de Seguridad Social.
En los casos excepcionales de trabajadores independientes que se afilien a través de agremiaciones verificar que corresponda a una agremiación autorizada por el Ministerio de Salud y Protección Social, conforme al listado publicado en la página Web del Ministerio del Trabajo o del Ministerio de Salud y Protección Social.</t>
  </si>
  <si>
    <t>Solicitar los soportes de convocatoria, elección, conformación del Comité Paritario de Seguridad y Salud en el Trabajo y el acta de constitución.
Constatar si es igual el número de representante del empleador y de los trabajadores y revisar si el acta de conformación se encuentra vigente.
Solicitar las actas de reunión mensuales del último año del Comité Paritario y verificar el cumplimiento de sus funciones.</t>
  </si>
  <si>
    <t>CRITERIO</t>
  </si>
  <si>
    <t>MODO VER</t>
  </si>
  <si>
    <t>Identificar los peligros en el marco de los procesos productivos de la unidad de producción agropecuaria, evaluar y valorar los riesgos y establecer los respectivos controles</t>
  </si>
  <si>
    <t>Sin especificacion especial en Art. 7</t>
  </si>
  <si>
    <t>El Art. 7 de la Res 0312 no establece un modo de verificación para este item del estandar</t>
  </si>
  <si>
    <t>Desarrollar actividades enfocadas a prevenir la presencia de accidentes de trabajo o enfermedades laborales</t>
  </si>
  <si>
    <t>Proteger la seguridad y salud de todas las personas que desarrollan actividades productivas en la unidad de produccion agropecuaria</t>
  </si>
  <si>
    <t>modver</t>
  </si>
  <si>
    <t>falta</t>
  </si>
  <si>
    <t>Nombre evalu ult</t>
  </si>
  <si>
    <t>Reg #</t>
  </si>
  <si>
    <t>Ciclo PHVA</t>
  </si>
  <si>
    <t>Fecha Evaluación</t>
  </si>
  <si>
    <t>Estándar</t>
  </si>
  <si>
    <t>Descripción del Estándar</t>
  </si>
  <si>
    <t>Item de Estándar</t>
  </si>
  <si>
    <t>Fundamentos y soportes de la efectividad de las acciones y actividades</t>
  </si>
  <si>
    <t>Fecha Programada de Cierre</t>
  </si>
  <si>
    <t>Fecha de realización de la Actividad</t>
  </si>
  <si>
    <t>Estado de la Acción</t>
  </si>
  <si>
    <t>Acciones de mejora realizadas</t>
  </si>
  <si>
    <t>PLAN DE MEJORAMIENTO CONFORME AL RESULTADO DE LA AUTOEVALUACIÓN</t>
  </si>
  <si>
    <t>% Avance</t>
  </si>
  <si>
    <t># actividades ejecutadas</t>
  </si>
  <si>
    <t>TOTAL</t>
  </si>
  <si>
    <t>Max</t>
  </si>
  <si>
    <t>%</t>
  </si>
  <si>
    <t>ESTANDARES MÍNIMOS DEL SISTEMA DE GESTIÓN DE SALUD Y SEGURIDAD EN EL TRABAJO</t>
  </si>
  <si>
    <t>Cumple</t>
  </si>
  <si>
    <t>Cargo</t>
  </si>
  <si>
    <t>Realizado por</t>
  </si>
  <si>
    <t>Reportar a la Administradora de Riesgos Laborales (ARL) y a la Entidad Promotora de Salud (EPS) todos los accidentes de trabajo y las enfermedades laborales diagnosticadas.
Reportar a la Dirección Territorial del Ministerio del Trabajo que corresponda los accidentes graves y mortales, así como como las enfermedades diagnosticadas como laborales.  Estos reportes se realizan dentro de los dos (2) días hábiles siguientes al evento o recibo del diagnóstico de la enfermedad.</t>
  </si>
  <si>
    <t>Criterios. Unidades de produccion agropecuaria con 10 o menos trabajadores de forma permanente, clasificadas con riesgo I, II ó III (art 7)</t>
  </si>
  <si>
    <t>Este criterio NO APLICA para Unidades de produccion agropecuaria, con 10 o menos trabajadores de forma permanente y clasificadas en riesgo I, II ó III, según establece el artículo 7</t>
  </si>
  <si>
    <t>Criterios. Empresas con 11 a 50  trabajadores, clasificadas con riesgo I, II ó III (ART 9)</t>
  </si>
  <si>
    <t>Este criterio NO APLICA para empresas con 11 a 50 trabajadores clasificadas con riesgo I, II ó III, según establece el artículo 9</t>
  </si>
  <si>
    <t>Criterios. Empresas con (10) o menos trabajadores, clasificadas con riesgo I, II ó III (Art 3)</t>
  </si>
  <si>
    <t>Este criterio NO APLICA para empresas con 10 o menos trabajadores clasificadas con riesgo I, II ó III, según establece el artículo 3</t>
  </si>
  <si>
    <t>Desarrollada por Colmena Seguros para hacerle a nuestros clientes las cosas más fáciles en sus autoevaluaciones. Le permite</t>
  </si>
  <si>
    <t>llevar el registro de más de 1.000 autodiagnósticos con su respectivo plan de mejoramiento para una o varias empresas</t>
  </si>
  <si>
    <t>Total Items No Aplica</t>
  </si>
  <si>
    <t>Identificación de peligros, evaluación y valoración de riesgos</t>
  </si>
  <si>
    <t>Medidas de prevención y control para intervenir los peligros/riesgos</t>
  </si>
  <si>
    <t>Gestión y resultados del SG-SST</t>
  </si>
  <si>
    <t>Acciones preventivas y correctivas con base en los resultados del SG-SST</t>
  </si>
  <si>
    <t>Mecanismos de vigilancia de las condiciones de salud de los trabajadores</t>
  </si>
  <si>
    <t>Recursos financieros, técnicos,  humanos y de otra índole requeridos para coordinar y desarrollar el Sistema de Gestión de la Seguridad y la Salud en el Trabajo (SG-SST)</t>
  </si>
  <si>
    <t>Capacitación en el Sistema de Gestión de la Seguridad y la Salud en el Trabajo</t>
  </si>
  <si>
    <t>Objetivos del Sistema de Gestión de la Seguridad y la Salud en el Trabajo SG-SST</t>
  </si>
  <si>
    <t>Evaluación inicial del SG-SST</t>
  </si>
  <si>
    <t>Normatividad nacional vigente y aplicable en materia de seguridad y salud en el trabajo</t>
  </si>
  <si>
    <t>Condiciones de salud en el trabajo</t>
  </si>
  <si>
    <t>Registro, reporte e investigación de las enfermedades laborales, los incidentes y accidentes del trabajo</t>
  </si>
  <si>
    <t>RECURSOS</t>
  </si>
  <si>
    <t>GESTIÓN INTEGRAL DEL SISTEMA DE GESTIÓN DE LA SEGURIDAD Y LA SALUD EN EL TRABAJO</t>
  </si>
  <si>
    <t>GESTIÓN DE LA SALUD</t>
  </si>
  <si>
    <t>GESTIÓN DE PELIGROS Y RIESGOS</t>
  </si>
  <si>
    <t>GESTIÓN DE AMENAZAS</t>
  </si>
  <si>
    <t>VERIFICACIÓN DEL SG-SST</t>
  </si>
  <si>
    <t>MEJORAMIENTO</t>
  </si>
  <si>
    <t>CUMPLIMIENTO ITEM</t>
  </si>
  <si>
    <t>6.1.4</t>
  </si>
  <si>
    <t>7.1.1</t>
  </si>
  <si>
    <t>7.1.2</t>
  </si>
  <si>
    <t>7.1.3</t>
  </si>
  <si>
    <t>7.1.4</t>
  </si>
  <si>
    <t xml:space="preserve">   </t>
  </si>
  <si>
    <t>Solicitar el programa de capacitación anual y la matriz de identificación de peligros y verificar que el mismo esté dirigido a los peligros ya identificados y esté acorde con la evaluación y control de los riesgos y/o necesidades en Seguridad y Salud en el Trabajo.
Solicitar los documentos que evidencien el cumplimiento del programa de capacitación.</t>
  </si>
  <si>
    <t>Establecer por escrito la Política de Seguridad y Salud en el Trabajo y comunicarla al Comité Paritario de Seguridad y Salud en el Trabajo COPASST.  La Política debe ser fechada y firmada por el representante legal y expresa el compromiso de la alta dirección, el alcance sobre todos los centros de trabajo y todos sus trabajadores independientemente de su forma de vinculación y/o contratación, es revisada, como mínimo una vez al año, hace parte de las políticas de gestión de la empresa, se encuentra difundida y accesible para todos los niveles de la organización. Incluye como mínimo el compromiso con: 1. La identificación de los peligros, evaluación y valoración de los riesgos y con los respectivos controles. 2- Proteger la seguridad y salud de todos los trabajadores mediante la mejora continua. 3- El cumplimiento de la normatividad vigente aplicable en materia de riesgos laborales.</t>
  </si>
  <si>
    <t>Art 16</t>
  </si>
  <si>
    <t>Ev. #</t>
  </si>
  <si>
    <t>Acciones de mejora requeridas</t>
  </si>
  <si>
    <t>Sel 1 (%)</t>
  </si>
  <si>
    <t>Sel 2 (%)</t>
  </si>
  <si>
    <t>Sel 3 (%)</t>
  </si>
  <si>
    <t>Sel 4 (%)</t>
  </si>
  <si>
    <t>Sel 5 (%)</t>
  </si>
  <si>
    <t>Sel 1 (Reslutado)</t>
  </si>
  <si>
    <t>Sel 2 (Resultado)</t>
  </si>
  <si>
    <t>Sel 3 (Resultado)</t>
  </si>
  <si>
    <t>Sel 4 (Resultado)</t>
  </si>
  <si>
    <t>Sel 5 (Resultado)</t>
  </si>
  <si>
    <t>Fecha autoevaluación</t>
  </si>
  <si>
    <t>Estándares mínimos que aplican</t>
  </si>
  <si>
    <t>Item #</t>
  </si>
  <si>
    <t>Art.#</t>
  </si>
  <si>
    <t>Asignar una persona que cumpla con el siguiente perfil:
El diseño del Sistema de Gestión de Seguridad y Salud en el Trabajo, para empresas de menos de diez (10) trabajadores en clase de riesgo I, II, III puede ser realizado por un técnico en Seguridad y Salud en el Trabajo (SST) o en alguna de sus áreas, con licencia vigente en Seguridad y Salud en el Trabajo, que acredite mínimo un (1) año de experiencia certificada por las empresas o entidades en las que laboró en el desarrollo de  actividades de Seguridad y Salud en el Trabajo y que acredite la aprobación del curso de capacitación virtual de cincuenta (50) horas.
Esta actividad también podrá ser desarrollada por tecnólogos, profesionales y profesionales con posgrado en SST, que cuenten con licencia vigente en Seguridad y Salud en el Trabajo y el referido curso de capacitación virtual de cincuenta (50) horas.</t>
  </si>
  <si>
    <t>Realizar la identificación de peligros y la evaluación y valoración de riesgos con acompañamiento de la ARL</t>
  </si>
  <si>
    <t>Solicitar documento con la identificación de peligros, evaluación y valoración de riesgos. Constancia de acompañamiento de la ARL - Acta de visita ARL</t>
  </si>
  <si>
    <t>Ejecutar las actividades de prevención y control de peligros y/o riesgos con base en el resultado de la identificación de peligros, la evaluación y valoración de riesgos.</t>
  </si>
  <si>
    <t>Solicitar documento soporte con acciones ejecutadas</t>
  </si>
  <si>
    <t>Act #</t>
  </si>
  <si>
    <t>Avance ejecución total</t>
  </si>
  <si>
    <t>Se recomienda adicionalmente:  Validar que se estén realizando las actualizaciones cada 3 años del curso de 50 horas (Resolución 4927/2016, artículo 16)</t>
  </si>
  <si>
    <t>Se recomienda adicionalmente:  validar la socialización de estas responsabilidades</t>
  </si>
  <si>
    <t>Se recomienda adicionalmente:  en caso de tener personal expuesto a canceríginos, verificar que estén con clasificación y aportes de nivel 5 (Decreto 1607/2002)</t>
  </si>
  <si>
    <t>Se recomienda adicionalmente:  verificar que el número de integrantes corresponda al establecido en la Resolución 2013/1986</t>
  </si>
  <si>
    <t>Se recomienda adicionalmente:  verificar que el personal expuesto haya participado en las capacitaciones correspondientes</t>
  </si>
  <si>
    <t>Se recomienda adicionalmente: incluir en la Matriz Legal el cumplimiento de la misma o el plan de acción para cumplir las normas aplicables</t>
  </si>
  <si>
    <t>Se recomienda adicionalmente: Solicitar el registro de cambios y evidencias de la aplicación del procedimiento durante los mismos</t>
  </si>
  <si>
    <t>Se recomienda adicionalmente:  verificar que se realizan los controles requeridos según los resultados de las mediciones ambientales</t>
  </si>
  <si>
    <t>Se recomienda adicionalmente: verificar  que efectivamente el COPASST participó en la planificación de la auditoría anual (Decreto 1072, artículo 2.2.4.6.29)</t>
  </si>
  <si>
    <t># Actividades de mejora</t>
  </si>
  <si>
    <t>Resultado Estándares</t>
  </si>
  <si>
    <t>PLAN DE MEJORAMIENTO</t>
  </si>
  <si>
    <t>Registrado</t>
  </si>
  <si>
    <t>peso aplican</t>
  </si>
  <si>
    <t>resultado aplican</t>
  </si>
  <si>
    <t>Suma Aplican</t>
  </si>
  <si>
    <t>SumaCumpleApl</t>
  </si>
  <si>
    <t>%CumpApl</t>
  </si>
  <si>
    <t>Responsable empresa de la autoevaluación</t>
  </si>
  <si>
    <t>Valor</t>
  </si>
  <si>
    <t>Resultado
(% Items aplicables)</t>
  </si>
  <si>
    <t>FASE 1</t>
  </si>
  <si>
    <t>Evaluación inicial</t>
  </si>
  <si>
    <t>FASE 2</t>
  </si>
  <si>
    <t>FASE 3</t>
  </si>
  <si>
    <t>FASE 4</t>
  </si>
  <si>
    <t>FASE 5</t>
  </si>
  <si>
    <t>Ejecución</t>
  </si>
  <si>
    <t>Seguimiento y plan de mejora</t>
  </si>
  <si>
    <t>Junio</t>
  </si>
  <si>
    <t>Julio</t>
  </si>
  <si>
    <t>Agosto</t>
  </si>
  <si>
    <t>Septiembre</t>
  </si>
  <si>
    <t>Octubre</t>
  </si>
  <si>
    <t>Noviembre</t>
  </si>
  <si>
    <t>Diciembre</t>
  </si>
  <si>
    <t>Enero</t>
  </si>
  <si>
    <t>Febrero</t>
  </si>
  <si>
    <t>Marzo</t>
  </si>
  <si>
    <t>Abril</t>
  </si>
  <si>
    <t>Mayo</t>
  </si>
  <si>
    <t>Inspección, Vigilancia y Control (IVC)  -------&gt;</t>
  </si>
  <si>
    <t>Mejoramiento según evaluación inicial</t>
  </si>
  <si>
    <t>2020 en adelante</t>
  </si>
  <si>
    <t>Hoy es</t>
  </si>
  <si>
    <t>Ejecucion del plan de mejora para los Estándares Mínimos y Ejecución del Plan anual de trabajo</t>
  </si>
  <si>
    <t>FASES PARA LA IMPLEMENTACIÓN DEL SISTEMA DE GESTIÓN DE SEGURIDAD Y SALUD EN EL TRABAJO</t>
  </si>
  <si>
    <t>Para este mes tenga presente:</t>
  </si>
  <si>
    <t>Continuar con la implementación del Plan anual.  Tener presente que este mes inicia la Inspección, Vigilancia y Control por el Ministerio del Trabajo</t>
  </si>
  <si>
    <t>Establer el plan de mejora conforme al Plan del SGSST del 2018 e incorporarlo en el Plan del SGSST 2019</t>
  </si>
  <si>
    <t>El Ministerio y Colmena Seguros estarán realizando seguimiento al SG-SST y al Plan de Mejoramiento</t>
  </si>
  <si>
    <t>El Ministerio estará vigilando el cumplimiento de la normatividad vigente conforme a los Estándares Mínimos</t>
  </si>
  <si>
    <t>Continuar con la implementación del Plan anual.</t>
  </si>
  <si>
    <t>IMPLEMENTACIÓN DEFINITIVA
Cada Diciembre debe:
1- Realizar una autoevaluación
2- Formular el plan de mejora
3- Elaborar el Plan Anual de trabajo</t>
  </si>
  <si>
    <t>Subtotal APLICAN</t>
  </si>
  <si>
    <t>% Cumple de Aplicables</t>
  </si>
  <si>
    <t>OBSERVACION ITEM</t>
  </si>
  <si>
    <t>ART/APL.</t>
  </si>
  <si>
    <t>Explicación / Aclaración</t>
  </si>
  <si>
    <t>Recursos administrativos</t>
  </si>
  <si>
    <t>Recursos financieros</t>
  </si>
  <si>
    <t xml:space="preserve">  </t>
  </si>
  <si>
    <t>Rendir informe sobre el avance del Plan de Mejoramiento teniendo en cuenta las recomendaciones de Colmena Seguros</t>
  </si>
  <si>
    <t># ITEMS</t>
  </si>
  <si>
    <t>CUMPLIMIENTO ITEMS</t>
  </si>
  <si>
    <t>CUMPLIMIENTO (# ITEMS)</t>
  </si>
  <si>
    <r>
      <t xml:space="preserve">OBSERVACIÓN / COMENTARIO
</t>
    </r>
    <r>
      <rPr>
        <sz val="9"/>
        <color theme="0"/>
        <rFont val="Gill Sans MT"/>
        <family val="2"/>
      </rPr>
      <t>(Procure no utilizar más de 600 caracteres)</t>
    </r>
  </si>
  <si>
    <t>Actividad</t>
  </si>
  <si>
    <t>Actividades adicionales
Actividad concreta a realizar *</t>
  </si>
  <si>
    <t>Recursos administrativos*</t>
  </si>
  <si>
    <t>Fundamentos y soportes de la efectividad de las acciones y actividades*</t>
  </si>
  <si>
    <t>Responsable * 
(número de cédula)</t>
  </si>
  <si>
    <t>Recursos financieros*
(sin centavos)</t>
  </si>
  <si>
    <t>Fecha Programada de Cierre *</t>
  </si>
  <si>
    <t>Nota: las columnas marcadas con * y fondo azul oscuro son obligatorias (Resolución 0312 de 2019, artículo 28)</t>
  </si>
  <si>
    <t>1.1.1</t>
  </si>
  <si>
    <t>1.1.2</t>
  </si>
  <si>
    <t>1.1.3</t>
  </si>
  <si>
    <t>1.1.4</t>
  </si>
  <si>
    <t>1.1.5</t>
  </si>
  <si>
    <t>1.1.6</t>
  </si>
  <si>
    <t>1.1.7</t>
  </si>
  <si>
    <t>1.1.8</t>
  </si>
  <si>
    <t>1.2.1</t>
  </si>
  <si>
    <t>1.2.2</t>
  </si>
  <si>
    <t>1.2.3</t>
  </si>
  <si>
    <t>2.1.1</t>
  </si>
  <si>
    <t>2.2.1</t>
  </si>
  <si>
    <t>2.3.1</t>
  </si>
  <si>
    <t>2.4.1</t>
  </si>
  <si>
    <t>2.5.1</t>
  </si>
  <si>
    <t>2.6.1</t>
  </si>
  <si>
    <t>2.7.1</t>
  </si>
  <si>
    <t>2.8.1</t>
  </si>
  <si>
    <t>2.9.1</t>
  </si>
  <si>
    <t>2.10.1</t>
  </si>
  <si>
    <t>2.11.1</t>
  </si>
  <si>
    <t>3.1.1</t>
  </si>
  <si>
    <t>3.1.2</t>
  </si>
  <si>
    <t>3.1.3</t>
  </si>
  <si>
    <t>3.1.4</t>
  </si>
  <si>
    <t>3.1.5</t>
  </si>
  <si>
    <t>3.1.6</t>
  </si>
  <si>
    <t>3.1.7</t>
  </si>
  <si>
    <t>3.1.8</t>
  </si>
  <si>
    <t>3.1.9</t>
  </si>
  <si>
    <t>3.2.1</t>
  </si>
  <si>
    <t>3.2.2</t>
  </si>
  <si>
    <t>3.2.3</t>
  </si>
  <si>
    <t>3.3.1</t>
  </si>
  <si>
    <t>3.3.2</t>
  </si>
  <si>
    <t>3.3.3</t>
  </si>
  <si>
    <t>3.3.4</t>
  </si>
  <si>
    <t>3.3.5</t>
  </si>
  <si>
    <t>3.3.6</t>
  </si>
  <si>
    <t>4.1.1</t>
  </si>
  <si>
    <t>4.1.2</t>
  </si>
  <si>
    <t>4.1.3</t>
  </si>
  <si>
    <t>4.1.4</t>
  </si>
  <si>
    <t>4.2.1</t>
  </si>
  <si>
    <t>4.2.2</t>
  </si>
  <si>
    <t>4.2.3</t>
  </si>
  <si>
    <t>4.2.4</t>
  </si>
  <si>
    <t>4.2.5</t>
  </si>
  <si>
    <t>4.2.6</t>
  </si>
  <si>
    <t>5.1.1</t>
  </si>
  <si>
    <t>5.1.2</t>
  </si>
  <si>
    <t>6.1.1</t>
  </si>
  <si>
    <t>6.1.2</t>
  </si>
  <si>
    <t>6.1.3</t>
  </si>
  <si>
    <t>NO</t>
  </si>
  <si>
    <r>
      <t xml:space="preserve">Herramienta para la evaluación según la Resolución 0312 de 2019. </t>
    </r>
    <r>
      <rPr>
        <sz val="8"/>
        <color theme="0" tint="-0.249977111117893"/>
        <rFont val="Gill Sans MT"/>
        <family val="2"/>
      </rPr>
      <t>Versión V30_pruebasCG</t>
    </r>
  </si>
  <si>
    <t>PRUEBAS CARGUE PA 01</t>
  </si>
  <si>
    <t>PRUEBAS 02</t>
  </si>
  <si>
    <t>I</t>
  </si>
  <si>
    <t>Empresa de colombia</t>
  </si>
  <si>
    <t xml:space="preserve">Alcaldia del Carmen de Viboral </t>
  </si>
  <si>
    <t>890982616-9</t>
  </si>
  <si>
    <t>Todo</t>
  </si>
  <si>
    <t xml:space="preserve">Mary Luz Negrete Ramos. Profesional en salud ocupacional. Licencia S201500007306 renovacion 05/03/2015 de la Gobernacion de Antioquia (secretaria de salud). Carta de asignación que se camvbia cada cambio de gobierno (ultima 22/01/2024). </t>
  </si>
  <si>
    <t xml:space="preserve">Se encuentran definidas para todos los niveles de la empresa, se divulgan, se actualizan, y se entregan para firma. Pendiente las responsabilidades de contratistas (revisión por el area juridica), ya que se tiene en cuenta los estudios previos las obligaciones del contratista. </t>
  </si>
  <si>
    <t xml:space="preserve">Se tiene definido matriz de recursos con todos los items especificos que se requieren para el cumplimiento de las actividades del SG-SST y se tiene carta de asignación de recursos definida (esta pendiente por firma). </t>
  </si>
  <si>
    <t xml:space="preserve">Conformacion acorde a resolución del 20/09/2022. </t>
  </si>
  <si>
    <t xml:space="preserve">Formacion en roles y responsabilidades, investigacion de accidentes de trabajo e inspecciones de seguridad. </t>
  </si>
  <si>
    <t>Conformacion acorde a resolución del 04/01/2023</t>
  </si>
  <si>
    <t xml:space="preserve">Se cuenta con plan de trabajo donde se incluyen actividades de promoción y prevención en salud. Pendiente definir un programa de promoción y prevención. </t>
  </si>
  <si>
    <t xml:space="preserve">Se realiza el proceso de gestion humana y la induccion se evalua pero no se realiza al 100% del personal. </t>
  </si>
  <si>
    <t xml:space="preserve">La persona rrespnsable del SG-SST y el COPASST tienen el curso de 50 horas. </t>
  </si>
  <si>
    <t xml:space="preserve">Esta se encuentra actualizada, publicada y divulgada a traves de correos electronicos y en la inducción presencial. Pendiente en 2024 divulgarka con la actualizacion donde se integro con el vial. </t>
  </si>
  <si>
    <t xml:space="preserve">Se encuentran definidos los objetivos pero aun estan pendiente definir las metas y ser revisados y firmados. </t>
  </si>
  <si>
    <t xml:space="preserve">Se tiene la evaluacion incicial del año 2023 y la autoevaluación con porcentaje del 53.25% (realizada por la ARL Sura). </t>
  </si>
  <si>
    <t xml:space="preserve">Se tiene definido para el año 2024 y esta firmado y revisado por la alcaldia nueva. </t>
  </si>
  <si>
    <t xml:space="preserve">Se tiene procedimiento desactualizado e incompleto el listado maestro de documentos. </t>
  </si>
  <si>
    <t xml:space="preserve">Revisar y/o actualizar. </t>
  </si>
  <si>
    <t xml:space="preserve">Revisar y/o actualizar ya que se tienen falencias en el proceso. </t>
  </si>
  <si>
    <t>Solo se realizo en el año 2022.</t>
  </si>
  <si>
    <t xml:space="preserve">Se realizan anualmente en la semana de la salud. </t>
  </si>
  <si>
    <t xml:space="preserve">Revisión y/o actualización. </t>
  </si>
  <si>
    <t xml:space="preserve">Realizar procedimiento de examenes medicos ocupacionales. </t>
  </si>
  <si>
    <t xml:space="preserve">Se socializo la politica pero hay falancias en campañas de prevención al consumo. </t>
  </si>
  <si>
    <t xml:space="preserve">No se realiza reporte a la EPS. </t>
  </si>
  <si>
    <t>Con la GTC 45</t>
  </si>
  <si>
    <t xml:space="preserve">Revisar y/o actualizar formato. </t>
  </si>
  <si>
    <t>CRÍTICO</t>
  </si>
  <si>
    <t>No registrado</t>
  </si>
  <si>
    <t>Sin valorar</t>
  </si>
  <si>
    <t>SI</t>
  </si>
  <si>
    <t>REVISION</t>
  </si>
  <si>
    <t>RESOLUCIÓN 0312 DE 2019 (Febrero 13).
Diario Ofical 50.872 del 19.Feb.2019
Artículo 27: Tabla de valores de los estandares mínimos
Aplicación de estanadres según establece el Art 16</t>
  </si>
  <si>
    <t>06/06/2024</t>
  </si>
  <si>
    <t>Art 16/No apl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</si>
</sst>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164" formatCode="0.0"/>
    <numFmt numFmtId="165" formatCode="d/mmm/yyyy"/>
    <numFmt numFmtId="166" formatCode="0.0%"/>
    <numFmt numFmtId="167" formatCode="[$-F800]dddd\,\ mmmm\ dd\,\ yyyy"/>
    <numFmt numFmtId="168" formatCode="_-[$$-240A]* #,##0.00_-;\-[$$-240A]* #,##0.00_-;_-[$$-240A]* &quot;-&quot;??_-;_-@_-"/>
    <numFmt numFmtId="169" formatCode="&quot;$&quot;\ #,##0"/>
  </numFmts>
  <fonts count="5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8"/>
      <color theme="1"/>
      <name val="Calibri"/>
      <family val="2"/>
      <scheme val="minor"/>
    </font>
    <font>
      <sz val="18"/>
      <color theme="1"/>
      <name val="Arial"/>
      <family val="2"/>
    </font>
    <font>
      <sz val="7"/>
      <color theme="1"/>
      <name val="Times New Roman"/>
      <family val="1"/>
    </font>
    <font>
      <sz val="18"/>
      <color theme="1"/>
      <name val="Calibri"/>
      <family val="2"/>
      <scheme val="minor"/>
    </font>
    <font>
      <b/>
      <sz val="18"/>
      <color theme="0"/>
      <name val="Calibri"/>
      <family val="2"/>
      <scheme val="minor"/>
    </font>
    <font>
      <b/>
      <sz val="18"/>
      <color theme="0"/>
      <name val="Arial"/>
      <family val="2"/>
    </font>
    <font>
      <b/>
      <sz val="7"/>
      <color theme="0"/>
      <name val="Times New Roman"/>
      <family val="1"/>
    </font>
    <font>
      <b/>
      <sz val="16"/>
      <color theme="0"/>
      <name val="Calibri"/>
      <family val="2"/>
      <scheme val="minor"/>
    </font>
    <font>
      <sz val="11"/>
      <color rgb="FF464646"/>
      <name val="Arial"/>
      <family val="2"/>
    </font>
    <font>
      <sz val="10"/>
      <color theme="1"/>
      <name val="Arial"/>
      <family val="2"/>
    </font>
    <font>
      <b/>
      <sz val="18"/>
      <color rgb="FF464646"/>
      <name val="Arial"/>
      <family val="2"/>
    </font>
    <font>
      <sz val="12"/>
      <color theme="1"/>
      <name val="Arial"/>
      <family val="2"/>
    </font>
    <font>
      <sz val="12"/>
      <color theme="0"/>
      <name val="Arial"/>
      <family val="2"/>
    </font>
    <font>
      <sz val="11"/>
      <color theme="0"/>
      <name val="Arial"/>
      <family val="2"/>
    </font>
    <font>
      <sz val="14"/>
      <color theme="0"/>
      <name val="Arial"/>
      <family val="2"/>
    </font>
    <font>
      <sz val="16"/>
      <color theme="0"/>
      <name val="Arial"/>
      <family val="2"/>
    </font>
    <font>
      <b/>
      <sz val="14"/>
      <color theme="1"/>
      <name val="Arial"/>
      <family val="2"/>
    </font>
    <font>
      <b/>
      <sz val="12"/>
      <color theme="1"/>
      <name val="Calibri"/>
      <family val="2"/>
      <scheme val="minor"/>
    </font>
    <font>
      <sz val="10"/>
      <color theme="1"/>
      <name val="Calibri"/>
      <family val="2"/>
      <scheme val="minor"/>
    </font>
    <font>
      <b/>
      <sz val="12"/>
      <color theme="0"/>
      <name val="Calibri"/>
      <family val="2"/>
      <scheme val="minor"/>
    </font>
    <font>
      <b/>
      <sz val="9"/>
      <color indexed="81"/>
      <name val="Tahoma"/>
      <family val="2"/>
    </font>
    <font>
      <sz val="10"/>
      <color theme="0"/>
      <name val="Arial"/>
      <family val="2"/>
    </font>
    <font>
      <sz val="8"/>
      <color theme="3" tint="0.39997558519241921"/>
      <name val="Gill Sans MT"/>
      <family val="2"/>
    </font>
    <font>
      <sz val="8"/>
      <color theme="0" tint="-0.249977111117893"/>
      <name val="Gill Sans MT"/>
      <family val="2"/>
    </font>
    <font>
      <sz val="8"/>
      <color theme="1"/>
      <name val="Calibri"/>
      <family val="2"/>
      <scheme val="minor"/>
    </font>
    <font>
      <sz val="11"/>
      <color theme="1"/>
      <name val="Gill Sans MT"/>
      <family val="2"/>
    </font>
    <font>
      <b/>
      <sz val="14"/>
      <color theme="1"/>
      <name val="Gill Sans MT"/>
      <family val="2"/>
    </font>
    <font>
      <sz val="10"/>
      <color theme="1"/>
      <name val="Gill Sans MT"/>
      <family val="2"/>
    </font>
    <font>
      <b/>
      <sz val="11"/>
      <color theme="1"/>
      <name val="Gill Sans MT"/>
      <family val="2"/>
    </font>
    <font>
      <sz val="12"/>
      <color theme="1"/>
      <name val="Gill Sans MT"/>
      <family val="2"/>
    </font>
    <font>
      <sz val="11"/>
      <color theme="0"/>
      <name val="Gill Sans MT"/>
      <family val="2"/>
    </font>
    <font>
      <b/>
      <sz val="10"/>
      <color theme="1"/>
      <name val="Gill Sans MT"/>
      <family val="2"/>
    </font>
    <font>
      <sz val="9"/>
      <color theme="1"/>
      <name val="Gill Sans MT"/>
      <family val="2"/>
    </font>
    <font>
      <sz val="14"/>
      <color theme="0"/>
      <name val="Gill Sans MT"/>
      <family val="2"/>
    </font>
    <font>
      <b/>
      <sz val="11"/>
      <name val="Gill Sans MT"/>
      <family val="2"/>
    </font>
    <font>
      <sz val="11"/>
      <color rgb="FF000000"/>
      <name val="Calibri"/>
      <family val="2"/>
      <scheme val="minor"/>
    </font>
    <font>
      <sz val="11"/>
      <color rgb="FF000000"/>
      <name val="Calibri"/>
      <family val="2"/>
    </font>
    <font>
      <sz val="10"/>
      <color theme="0"/>
      <name val="Gill Sans MT"/>
      <family val="2"/>
    </font>
    <font>
      <b/>
      <sz val="10"/>
      <color rgb="FF464646"/>
      <name val="Gill Sans MT"/>
      <family val="2"/>
    </font>
    <font>
      <sz val="8"/>
      <color rgb="FF464646"/>
      <name val="Gill Sans MT"/>
      <family val="2"/>
    </font>
    <font>
      <sz val="10"/>
      <color rgb="FF464646"/>
      <name val="Gill Sans MT"/>
      <family val="2"/>
    </font>
    <font>
      <b/>
      <sz val="14"/>
      <color rgb="FF464646"/>
      <name val="Gill Sans MT"/>
      <family val="2"/>
    </font>
    <font>
      <sz val="10"/>
      <name val="Gill Sans MT"/>
      <family val="2"/>
    </font>
    <font>
      <sz val="9"/>
      <color rgb="FF464646"/>
      <name val="Gill Sans MT"/>
      <family val="2"/>
    </font>
    <font>
      <b/>
      <sz val="10"/>
      <color theme="0"/>
      <name val="Gill Sans MT"/>
      <family val="2"/>
    </font>
    <font>
      <b/>
      <sz val="14"/>
      <color theme="0"/>
      <name val="Gill Sans MT"/>
      <family val="2"/>
    </font>
    <font>
      <sz val="10"/>
      <color theme="1" tint="0.34998626667073579"/>
      <name val="Gill Sans MT"/>
      <family val="2"/>
    </font>
    <font>
      <b/>
      <sz val="18"/>
      <color rgb="FF464646"/>
      <name val="Gill Sans MT"/>
      <family val="2"/>
    </font>
    <font>
      <sz val="9"/>
      <color theme="0"/>
      <name val="Gill Sans MT"/>
      <family val="2"/>
    </font>
    <font>
      <b/>
      <sz val="11"/>
      <name val="Calibri"/>
      <family val="2"/>
      <scheme val="minor"/>
    </font>
    <font>
      <sz val="9"/>
      <color indexed="81"/>
      <name val="Tahoma"/>
      <family val="2"/>
    </font>
  </fonts>
  <fills count="19">
    <fill>
      <patternFill patternType="none"/>
    </fill>
    <fill>
      <patternFill patternType="gray125"/>
    </fill>
    <fill>
      <patternFill patternType="solid">
        <fgColor theme="0" tint="-0.14999847407452621"/>
        <bgColor indexed="64"/>
      </patternFill>
    </fill>
    <fill>
      <patternFill patternType="solid">
        <fgColor rgb="FF92D050"/>
        <bgColor indexed="64"/>
      </patternFill>
    </fill>
    <fill>
      <patternFill patternType="solid">
        <fgColor theme="0" tint="-0.249977111117893"/>
        <bgColor indexed="64"/>
      </patternFill>
    </fill>
    <fill>
      <patternFill patternType="solid">
        <fgColor rgb="FFFFFF00"/>
        <bgColor indexed="64"/>
      </patternFill>
    </fill>
    <fill>
      <patternFill patternType="solid">
        <fgColor rgb="FFFF0000"/>
        <bgColor indexed="64"/>
      </patternFill>
    </fill>
    <fill>
      <patternFill patternType="solid">
        <fgColor theme="0" tint="-0.34998626667073579"/>
        <bgColor indexed="64"/>
      </patternFill>
    </fill>
    <fill>
      <patternFill patternType="solid">
        <fgColor theme="3" tint="0.59999389629810485"/>
        <bgColor indexed="64"/>
      </patternFill>
    </fill>
    <fill>
      <patternFill patternType="solid">
        <fgColor rgb="FFCCFFCC"/>
        <bgColor indexed="64"/>
      </patternFill>
    </fill>
    <fill>
      <patternFill patternType="solid">
        <fgColor rgb="FF00B0F0"/>
        <bgColor indexed="64"/>
      </patternFill>
    </fill>
    <fill>
      <patternFill patternType="solid">
        <fgColor theme="1" tint="0.34998626667073579"/>
        <bgColor indexed="64"/>
      </patternFill>
    </fill>
    <fill>
      <patternFill patternType="solid">
        <fgColor rgb="FF00A4B4"/>
        <bgColor indexed="64"/>
      </patternFill>
    </fill>
    <fill>
      <patternFill patternType="solid">
        <fgColor rgb="FF0097AE"/>
        <bgColor indexed="64"/>
      </patternFill>
    </fill>
    <fill>
      <patternFill patternType="solid">
        <fgColor rgb="FFF9B036"/>
        <bgColor indexed="64"/>
      </patternFill>
    </fill>
    <fill>
      <patternFill patternType="solid">
        <fgColor rgb="FFFFF6A5"/>
        <bgColor indexed="64"/>
      </patternFill>
    </fill>
    <fill>
      <patternFill patternType="solid">
        <fgColor theme="3"/>
        <bgColor indexed="64"/>
      </patternFill>
    </fill>
    <fill>
      <patternFill patternType="solid">
        <fgColor rgb="FFFEC82F"/>
        <bgColor indexed="64"/>
      </patternFill>
    </fill>
    <fill>
      <patternFill patternType="solid">
        <fgColor rgb="FFFFE433"/>
        <bgColor indexed="64"/>
      </patternFill>
    </fill>
  </fills>
  <borders count="34">
    <border>
      <left/>
      <right/>
      <top/>
      <bottom/>
      <diagonal/>
    </border>
    <border>
      <left style="thin">
        <color indexed="64"/>
      </left>
      <right style="thin">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right style="medium">
        <color indexed="64"/>
      </right>
      <top style="medium">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theme="0"/>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s>
  <cellStyleXfs count="2">
    <xf numFmtId="0" fontId="0" fillId="0" borderId="0"/>
    <xf numFmtId="9" fontId="1" fillId="0" borderId="0" applyFont="0" applyFill="0" applyBorder="0" applyAlignment="0" applyProtection="0"/>
  </cellStyleXfs>
  <cellXfs count="323">
    <xf numFmtId="0" fontId="0" fillId="0" borderId="0" xfId="0"/>
    <xf numFmtId="0" fontId="0" fillId="0" borderId="0" xfId="0" applyAlignment="1">
      <alignment horizontal="center" vertical="center"/>
    </xf>
    <xf numFmtId="0" fontId="5" fillId="0" borderId="0" xfId="0" applyFont="1"/>
    <xf numFmtId="14" fontId="5" fillId="0" borderId="0" xfId="0" applyNumberFormat="1" applyFont="1"/>
    <xf numFmtId="0" fontId="5" fillId="0" borderId="0" xfId="0" applyFont="1" applyAlignment="1">
      <alignment vertical="center"/>
    </xf>
    <xf numFmtId="0" fontId="0" fillId="0" borderId="1" xfId="0" applyBorder="1"/>
    <xf numFmtId="0" fontId="6" fillId="3" borderId="10" xfId="0" applyFont="1" applyFill="1" applyBorder="1" applyAlignment="1">
      <alignment horizontal="left" vertical="center" indent="15"/>
    </xf>
    <xf numFmtId="0" fontId="0" fillId="3" borderId="19" xfId="0" applyFill="1" applyBorder="1"/>
    <xf numFmtId="0" fontId="0" fillId="3" borderId="19" xfId="0" applyFill="1" applyBorder="1" applyAlignment="1">
      <alignment horizontal="center" vertical="center"/>
    </xf>
    <xf numFmtId="0" fontId="0" fillId="3" borderId="20" xfId="0" applyFill="1" applyBorder="1"/>
    <xf numFmtId="0" fontId="7" fillId="3" borderId="6" xfId="0" applyFont="1" applyFill="1" applyBorder="1" applyAlignment="1">
      <alignment horizontal="left" vertical="center" indent="15"/>
    </xf>
    <xf numFmtId="0" fontId="0" fillId="3" borderId="0" xfId="0" applyFill="1"/>
    <xf numFmtId="0" fontId="0" fillId="3" borderId="0" xfId="0" applyFill="1" applyAlignment="1">
      <alignment horizontal="center" vertical="center"/>
    </xf>
    <xf numFmtId="0" fontId="0" fillId="3" borderId="7" xfId="0" applyFill="1" applyBorder="1"/>
    <xf numFmtId="0" fontId="7" fillId="3" borderId="2" xfId="0" applyFont="1" applyFill="1" applyBorder="1" applyAlignment="1">
      <alignment horizontal="left" vertical="center" indent="15"/>
    </xf>
    <xf numFmtId="0" fontId="0" fillId="3" borderId="3" xfId="0" applyFill="1" applyBorder="1"/>
    <xf numFmtId="0" fontId="0" fillId="3" borderId="3" xfId="0" applyFill="1" applyBorder="1" applyAlignment="1">
      <alignment horizontal="center" vertical="center"/>
    </xf>
    <xf numFmtId="0" fontId="0" fillId="3" borderId="4" xfId="0" applyFill="1" applyBorder="1"/>
    <xf numFmtId="0" fontId="6" fillId="5" borderId="10" xfId="0" applyFont="1" applyFill="1" applyBorder="1" applyAlignment="1">
      <alignment horizontal="left" vertical="center" indent="15"/>
    </xf>
    <xf numFmtId="0" fontId="0" fillId="5" borderId="19" xfId="0" applyFill="1" applyBorder="1"/>
    <xf numFmtId="0" fontId="0" fillId="5" borderId="19" xfId="0" applyFill="1" applyBorder="1" applyAlignment="1">
      <alignment horizontal="center" vertical="center"/>
    </xf>
    <xf numFmtId="0" fontId="0" fillId="5" borderId="20" xfId="0" applyFill="1" applyBorder="1"/>
    <xf numFmtId="0" fontId="7" fillId="5" borderId="6" xfId="0" applyFont="1" applyFill="1" applyBorder="1" applyAlignment="1">
      <alignment horizontal="left" vertical="center" indent="15"/>
    </xf>
    <xf numFmtId="0" fontId="0" fillId="5" borderId="0" xfId="0" applyFill="1"/>
    <xf numFmtId="0" fontId="0" fillId="5" borderId="0" xfId="0" applyFill="1" applyAlignment="1">
      <alignment horizontal="center" vertical="center"/>
    </xf>
    <xf numFmtId="0" fontId="0" fillId="5" borderId="7" xfId="0" applyFill="1" applyBorder="1"/>
    <xf numFmtId="0" fontId="7" fillId="5" borderId="2" xfId="0" applyFont="1" applyFill="1" applyBorder="1" applyAlignment="1">
      <alignment horizontal="left" vertical="center" indent="15"/>
    </xf>
    <xf numFmtId="0" fontId="0" fillId="5" borderId="3" xfId="0" applyFill="1" applyBorder="1"/>
    <xf numFmtId="0" fontId="0" fillId="5" borderId="3" xfId="0" applyFill="1" applyBorder="1" applyAlignment="1">
      <alignment horizontal="center" vertical="center"/>
    </xf>
    <xf numFmtId="0" fontId="0" fillId="5" borderId="4" xfId="0" applyFill="1" applyBorder="1"/>
    <xf numFmtId="0" fontId="10" fillId="6" borderId="10" xfId="0" applyFont="1" applyFill="1" applyBorder="1" applyAlignment="1">
      <alignment horizontal="left" vertical="center" indent="15"/>
    </xf>
    <xf numFmtId="0" fontId="2" fillId="6" borderId="19" xfId="0" applyFont="1" applyFill="1" applyBorder="1"/>
    <xf numFmtId="0" fontId="4" fillId="6" borderId="19" xfId="0" applyFont="1" applyFill="1" applyBorder="1"/>
    <xf numFmtId="0" fontId="4" fillId="6" borderId="19" xfId="0" applyFont="1" applyFill="1" applyBorder="1" applyAlignment="1">
      <alignment horizontal="center" vertical="center"/>
    </xf>
    <xf numFmtId="0" fontId="4" fillId="6" borderId="20" xfId="0" applyFont="1" applyFill="1" applyBorder="1"/>
    <xf numFmtId="0" fontId="11" fillId="6" borderId="6" xfId="0" applyFont="1" applyFill="1" applyBorder="1" applyAlignment="1">
      <alignment horizontal="left" vertical="center" indent="15"/>
    </xf>
    <xf numFmtId="0" fontId="2" fillId="6" borderId="0" xfId="0" applyFont="1" applyFill="1"/>
    <xf numFmtId="0" fontId="4" fillId="6" borderId="0" xfId="0" applyFont="1" applyFill="1"/>
    <xf numFmtId="0" fontId="4" fillId="6" borderId="0" xfId="0" applyFont="1" applyFill="1" applyAlignment="1">
      <alignment horizontal="center" vertical="center"/>
    </xf>
    <xf numFmtId="0" fontId="4" fillId="6" borderId="7" xfId="0" applyFont="1" applyFill="1" applyBorder="1"/>
    <xf numFmtId="0" fontId="11" fillId="6" borderId="2" xfId="0" applyFont="1" applyFill="1" applyBorder="1" applyAlignment="1">
      <alignment horizontal="left" vertical="center" indent="15"/>
    </xf>
    <xf numFmtId="0" fontId="2" fillId="6" borderId="3" xfId="0" applyFont="1" applyFill="1" applyBorder="1"/>
    <xf numFmtId="0" fontId="4" fillId="6" borderId="3" xfId="0" applyFont="1" applyFill="1" applyBorder="1"/>
    <xf numFmtId="0" fontId="4" fillId="6" borderId="3" xfId="0" applyFont="1" applyFill="1" applyBorder="1" applyAlignment="1">
      <alignment horizontal="center" vertical="center"/>
    </xf>
    <xf numFmtId="0" fontId="4" fillId="6" borderId="4" xfId="0" applyFont="1" applyFill="1" applyBorder="1"/>
    <xf numFmtId="0" fontId="15" fillId="0" borderId="0" xfId="0" applyFont="1" applyAlignment="1">
      <alignment vertical="center" textRotation="90"/>
    </xf>
    <xf numFmtId="0" fontId="15" fillId="0" borderId="0" xfId="0" applyFont="1" applyAlignment="1">
      <alignment horizontal="center" vertical="center" textRotation="90"/>
    </xf>
    <xf numFmtId="0" fontId="15" fillId="0" borderId="0" xfId="0" applyFont="1"/>
    <xf numFmtId="0" fontId="15" fillId="0" borderId="0" xfId="0" applyFont="1" applyAlignment="1">
      <alignment horizontal="center"/>
    </xf>
    <xf numFmtId="0" fontId="15" fillId="0" borderId="0" xfId="0" applyFont="1" applyAlignment="1">
      <alignment wrapText="1"/>
    </xf>
    <xf numFmtId="0" fontId="0" fillId="0" borderId="0" xfId="0" applyAlignment="1">
      <alignment horizontal="center"/>
    </xf>
    <xf numFmtId="0" fontId="15" fillId="0" borderId="0" xfId="0" applyFont="1" applyAlignment="1">
      <alignment horizontal="center" vertical="center" wrapText="1"/>
    </xf>
    <xf numFmtId="0" fontId="15" fillId="0" borderId="0" xfId="0" applyFont="1" applyAlignment="1">
      <alignment horizontal="center" vertical="center"/>
    </xf>
    <xf numFmtId="0" fontId="0" fillId="0" borderId="0" xfId="0" applyAlignment="1">
      <alignment horizontal="left"/>
    </xf>
    <xf numFmtId="0" fontId="0" fillId="0" borderId="1" xfId="0" applyBorder="1" applyAlignment="1">
      <alignment horizontal="center"/>
    </xf>
    <xf numFmtId="49" fontId="0" fillId="0" borderId="0" xfId="0" applyNumberFormat="1"/>
    <xf numFmtId="49" fontId="0" fillId="0" borderId="21" xfId="0" applyNumberFormat="1" applyBorder="1"/>
    <xf numFmtId="49" fontId="0" fillId="0" borderId="22" xfId="0" applyNumberFormat="1" applyBorder="1"/>
    <xf numFmtId="0" fontId="0" fillId="0" borderId="25" xfId="0" applyBorder="1"/>
    <xf numFmtId="0" fontId="0" fillId="0" borderId="12" xfId="0" applyBorder="1"/>
    <xf numFmtId="0" fontId="0" fillId="0" borderId="24" xfId="0" applyBorder="1"/>
    <xf numFmtId="0" fontId="3" fillId="8" borderId="1" xfId="0" applyFont="1" applyFill="1" applyBorder="1" applyAlignment="1">
      <alignment horizontal="center" vertical="top" wrapText="1"/>
    </xf>
    <xf numFmtId="0" fontId="0" fillId="0" borderId="1" xfId="0" applyBorder="1" applyAlignment="1">
      <alignment horizontal="left"/>
    </xf>
    <xf numFmtId="0" fontId="17" fillId="0" borderId="1" xfId="0" applyFont="1" applyBorder="1" applyAlignment="1">
      <alignment horizontal="center" vertical="center"/>
    </xf>
    <xf numFmtId="165" fontId="17" fillId="0" borderId="1" xfId="0" applyNumberFormat="1" applyFont="1" applyBorder="1" applyAlignment="1">
      <alignment horizontal="center" vertical="center"/>
    </xf>
    <xf numFmtId="165" fontId="0" fillId="0" borderId="0" xfId="0" applyNumberFormat="1"/>
    <xf numFmtId="165" fontId="0" fillId="0" borderId="0" xfId="0" applyNumberFormat="1" applyAlignment="1">
      <alignment horizontal="left"/>
    </xf>
    <xf numFmtId="0" fontId="5" fillId="0" borderId="23" xfId="0" applyFont="1" applyBorder="1" applyAlignment="1">
      <alignment vertical="center"/>
    </xf>
    <xf numFmtId="0" fontId="5" fillId="0" borderId="26" xfId="0" applyFont="1" applyBorder="1" applyAlignment="1">
      <alignment vertical="center"/>
    </xf>
    <xf numFmtId="165" fontId="0" fillId="0" borderId="24" xfId="0" applyNumberFormat="1" applyBorder="1"/>
    <xf numFmtId="49" fontId="0" fillId="0" borderId="24" xfId="0" applyNumberFormat="1" applyBorder="1"/>
    <xf numFmtId="0" fontId="5" fillId="0" borderId="13" xfId="0" applyFont="1" applyBorder="1" applyAlignment="1">
      <alignment vertical="center"/>
    </xf>
    <xf numFmtId="3" fontId="0" fillId="0" borderId="0" xfId="0" applyNumberFormat="1"/>
    <xf numFmtId="14" fontId="0" fillId="0" borderId="0" xfId="0" applyNumberFormat="1"/>
    <xf numFmtId="0" fontId="3" fillId="0" borderId="1" xfId="0" applyFont="1" applyBorder="1" applyAlignment="1">
      <alignment horizontal="center"/>
    </xf>
    <xf numFmtId="0" fontId="0" fillId="0" borderId="10" xfId="0" applyBorder="1"/>
    <xf numFmtId="0" fontId="0" fillId="0" borderId="19" xfId="0" applyBorder="1"/>
    <xf numFmtId="0" fontId="0" fillId="0" borderId="20" xfId="0" applyBorder="1"/>
    <xf numFmtId="0" fontId="0" fillId="0" borderId="6" xfId="0" applyBorder="1"/>
    <xf numFmtId="0" fontId="0" fillId="0" borderId="7" xfId="0" applyBorder="1"/>
    <xf numFmtId="0" fontId="0" fillId="9" borderId="0" xfId="0" applyFill="1"/>
    <xf numFmtId="0" fontId="0" fillId="10" borderId="0" xfId="0" applyFill="1" applyAlignment="1" applyProtection="1">
      <alignment horizontal="left"/>
      <protection locked="0"/>
    </xf>
    <xf numFmtId="0" fontId="0" fillId="0" borderId="0" xfId="0" applyProtection="1">
      <protection locked="0"/>
    </xf>
    <xf numFmtId="0" fontId="0" fillId="5" borderId="0" xfId="0" applyFill="1" applyAlignment="1" applyProtection="1">
      <alignment horizontal="left"/>
      <protection locked="0"/>
    </xf>
    <xf numFmtId="14" fontId="0" fillId="5" borderId="0" xfId="0" applyNumberFormat="1" applyFill="1" applyAlignment="1" applyProtection="1">
      <alignment horizontal="left"/>
      <protection locked="0"/>
    </xf>
    <xf numFmtId="0" fontId="20" fillId="13" borderId="1" xfId="0" applyFont="1" applyFill="1" applyBorder="1" applyAlignment="1">
      <alignment wrapText="1"/>
    </xf>
    <xf numFmtId="0" fontId="21" fillId="13" borderId="1" xfId="0" applyFont="1" applyFill="1" applyBorder="1" applyAlignment="1">
      <alignment horizontal="right"/>
    </xf>
    <xf numFmtId="14" fontId="15" fillId="0" borderId="27" xfId="0" applyNumberFormat="1" applyFont="1" applyBorder="1"/>
    <xf numFmtId="14" fontId="15" fillId="0" borderId="28" xfId="0" applyNumberFormat="1" applyFont="1" applyBorder="1"/>
    <xf numFmtId="14" fontId="15" fillId="0" borderId="29" xfId="0" applyNumberFormat="1" applyFont="1" applyBorder="1"/>
    <xf numFmtId="0" fontId="17" fillId="0" borderId="0" xfId="0" applyFont="1"/>
    <xf numFmtId="0" fontId="17" fillId="0" borderId="0" xfId="0" applyFont="1" applyAlignment="1">
      <alignment horizontal="right"/>
    </xf>
    <xf numFmtId="0" fontId="0" fillId="0" borderId="28" xfId="0" applyBorder="1"/>
    <xf numFmtId="0" fontId="4" fillId="0" borderId="0" xfId="0" applyFont="1" applyAlignment="1">
      <alignment wrapText="1"/>
    </xf>
    <xf numFmtId="0" fontId="4" fillId="0" borderId="0" xfId="0" applyFont="1" applyAlignment="1">
      <alignment horizontal="center" wrapText="1"/>
    </xf>
    <xf numFmtId="165" fontId="0" fillId="15" borderId="1" xfId="0" applyNumberFormat="1" applyFill="1" applyBorder="1"/>
    <xf numFmtId="164" fontId="0" fillId="15" borderId="1" xfId="0" applyNumberFormat="1" applyFill="1" applyBorder="1" applyAlignment="1">
      <alignment horizontal="center"/>
    </xf>
    <xf numFmtId="0" fontId="23" fillId="0" borderId="0" xfId="0" applyFont="1" applyAlignment="1">
      <alignment horizontal="right"/>
    </xf>
    <xf numFmtId="0" fontId="23" fillId="0" borderId="0" xfId="0" applyFont="1"/>
    <xf numFmtId="0" fontId="24" fillId="0" borderId="0" xfId="0" applyFont="1"/>
    <xf numFmtId="0" fontId="0" fillId="15" borderId="1" xfId="0" applyFill="1" applyBorder="1" applyAlignment="1">
      <alignment horizontal="center"/>
    </xf>
    <xf numFmtId="166" fontId="0" fillId="15" borderId="1" xfId="1" applyNumberFormat="1" applyFont="1" applyFill="1" applyBorder="1" applyAlignment="1">
      <alignment horizontal="center"/>
    </xf>
    <xf numFmtId="166" fontId="0" fillId="0" borderId="0" xfId="1" applyNumberFormat="1" applyFont="1" applyAlignment="1">
      <alignment horizontal="center"/>
    </xf>
    <xf numFmtId="0" fontId="0" fillId="0" borderId="1" xfId="0" applyBorder="1" applyProtection="1">
      <protection locked="0"/>
    </xf>
    <xf numFmtId="14" fontId="0" fillId="0" borderId="1" xfId="0" applyNumberFormat="1" applyBorder="1" applyProtection="1">
      <protection locked="0"/>
    </xf>
    <xf numFmtId="2" fontId="0" fillId="0" borderId="1" xfId="0" applyNumberFormat="1" applyBorder="1"/>
    <xf numFmtId="9" fontId="0" fillId="0" borderId="1" xfId="1" applyFont="1" applyBorder="1"/>
    <xf numFmtId="0" fontId="2" fillId="13" borderId="1" xfId="0" applyFont="1" applyFill="1" applyBorder="1"/>
    <xf numFmtId="0" fontId="2" fillId="13" borderId="1" xfId="0" applyFont="1" applyFill="1" applyBorder="1" applyAlignment="1">
      <alignment horizontal="center"/>
    </xf>
    <xf numFmtId="0" fontId="4" fillId="13" borderId="1" xfId="0" applyFont="1" applyFill="1" applyBorder="1" applyAlignment="1">
      <alignment horizontal="center"/>
    </xf>
    <xf numFmtId="0" fontId="25" fillId="13" borderId="1" xfId="0" applyFont="1" applyFill="1" applyBorder="1"/>
    <xf numFmtId="2" fontId="0" fillId="0" borderId="1" xfId="0" applyNumberFormat="1" applyBorder="1" applyAlignment="1">
      <alignment horizontal="center"/>
    </xf>
    <xf numFmtId="9" fontId="0" fillId="0" borderId="1" xfId="1" applyFont="1" applyBorder="1" applyAlignment="1">
      <alignment horizontal="center"/>
    </xf>
    <xf numFmtId="0" fontId="25" fillId="13" borderId="1" xfId="0" applyFont="1" applyFill="1" applyBorder="1" applyAlignment="1">
      <alignment horizontal="center"/>
    </xf>
    <xf numFmtId="9" fontId="2" fillId="13" borderId="1" xfId="1" applyFont="1" applyFill="1" applyBorder="1" applyAlignment="1">
      <alignment horizontal="center"/>
    </xf>
    <xf numFmtId="1" fontId="0" fillId="0" borderId="1" xfId="0" applyNumberFormat="1" applyBorder="1" applyAlignment="1">
      <alignment horizontal="center"/>
    </xf>
    <xf numFmtId="0" fontId="4" fillId="13" borderId="1" xfId="0" applyFont="1" applyFill="1" applyBorder="1" applyAlignment="1">
      <alignment horizontal="left"/>
    </xf>
    <xf numFmtId="14" fontId="4" fillId="13" borderId="1" xfId="0" applyNumberFormat="1" applyFont="1" applyFill="1" applyBorder="1" applyAlignment="1">
      <alignment horizontal="center"/>
    </xf>
    <xf numFmtId="14" fontId="4" fillId="13" borderId="1" xfId="0" applyNumberFormat="1" applyFont="1" applyFill="1" applyBorder="1" applyAlignment="1">
      <alignment horizontal="center" wrapText="1"/>
    </xf>
    <xf numFmtId="0" fontId="4" fillId="13" borderId="1" xfId="0" applyFont="1" applyFill="1" applyBorder="1" applyAlignment="1">
      <alignment horizontal="center" wrapText="1"/>
    </xf>
    <xf numFmtId="0" fontId="27" fillId="0" borderId="0" xfId="0" applyFont="1"/>
    <xf numFmtId="0" fontId="4" fillId="0" borderId="0" xfId="0" applyFont="1" applyAlignment="1">
      <alignment vertical="center"/>
    </xf>
    <xf numFmtId="0" fontId="4" fillId="0" borderId="0" xfId="0" applyFont="1"/>
    <xf numFmtId="0" fontId="27" fillId="0" borderId="0" xfId="0" applyFont="1" applyAlignment="1">
      <alignment horizontal="center"/>
    </xf>
    <xf numFmtId="9" fontId="2" fillId="13" borderId="11" xfId="0" applyNumberFormat="1" applyFont="1" applyFill="1" applyBorder="1" applyAlignment="1">
      <alignment horizontal="center"/>
    </xf>
    <xf numFmtId="0" fontId="2" fillId="13" borderId="30" xfId="0" applyFont="1" applyFill="1" applyBorder="1" applyAlignment="1">
      <alignment horizontal="center"/>
    </xf>
    <xf numFmtId="0" fontId="2" fillId="13" borderId="14" xfId="0" applyFont="1" applyFill="1" applyBorder="1" applyAlignment="1">
      <alignment horizontal="center"/>
    </xf>
    <xf numFmtId="0" fontId="2" fillId="13" borderId="11" xfId="0" applyFont="1" applyFill="1" applyBorder="1" applyAlignment="1">
      <alignment horizontal="center"/>
    </xf>
    <xf numFmtId="0" fontId="28" fillId="0" borderId="0" xfId="0" quotePrefix="1" applyFont="1" applyAlignment="1">
      <alignment horizontal="center"/>
    </xf>
    <xf numFmtId="0" fontId="29" fillId="0" borderId="0" xfId="0" quotePrefix="1" applyFont="1" applyAlignment="1">
      <alignment horizontal="left"/>
    </xf>
    <xf numFmtId="0" fontId="30" fillId="0" borderId="0" xfId="0" applyFont="1" applyAlignment="1">
      <alignment horizontal="center"/>
    </xf>
    <xf numFmtId="0" fontId="0" fillId="0" borderId="0" xfId="0" applyAlignment="1">
      <alignment horizontal="right"/>
    </xf>
    <xf numFmtId="0" fontId="31" fillId="0" borderId="0" xfId="0" applyFont="1" applyAlignment="1" applyProtection="1">
      <alignment vertical="center"/>
      <protection locked="0"/>
    </xf>
    <xf numFmtId="0" fontId="31" fillId="0" borderId="0" xfId="0" applyFont="1"/>
    <xf numFmtId="0" fontId="31" fillId="0" borderId="0" xfId="0" applyFont="1" applyAlignment="1">
      <alignment horizontal="center"/>
    </xf>
    <xf numFmtId="0" fontId="31" fillId="0" borderId="0" xfId="0" applyFont="1" applyAlignment="1">
      <alignment horizontal="center" vertical="center"/>
    </xf>
    <xf numFmtId="166" fontId="31" fillId="0" borderId="0" xfId="1" applyNumberFormat="1" applyFont="1" applyAlignment="1">
      <alignment horizontal="center"/>
    </xf>
    <xf numFmtId="166" fontId="31" fillId="0" borderId="0" xfId="1" applyNumberFormat="1" applyFont="1" applyFill="1" applyBorder="1" applyAlignment="1">
      <alignment horizontal="center"/>
    </xf>
    <xf numFmtId="0" fontId="33" fillId="0" borderId="0" xfId="0" applyFont="1"/>
    <xf numFmtId="0" fontId="34" fillId="0" borderId="0" xfId="0" applyFont="1"/>
    <xf numFmtId="0" fontId="35" fillId="0" borderId="0" xfId="0" applyFont="1"/>
    <xf numFmtId="0" fontId="33" fillId="0" borderId="0" xfId="0" applyFont="1" applyAlignment="1">
      <alignment vertical="top"/>
    </xf>
    <xf numFmtId="0" fontId="36" fillId="12" borderId="4" xfId="0" applyFont="1" applyFill="1" applyBorder="1" applyAlignment="1">
      <alignment horizontal="center"/>
    </xf>
    <xf numFmtId="0" fontId="34" fillId="14" borderId="14" xfId="0" applyFont="1" applyFill="1" applyBorder="1" applyAlignment="1">
      <alignment horizontal="center"/>
    </xf>
    <xf numFmtId="0" fontId="34" fillId="14" borderId="30" xfId="0" applyFont="1" applyFill="1" applyBorder="1" applyAlignment="1">
      <alignment horizontal="left"/>
    </xf>
    <xf numFmtId="0" fontId="34" fillId="14" borderId="11" xfId="0" applyFont="1" applyFill="1" applyBorder="1" applyAlignment="1">
      <alignment horizontal="right"/>
    </xf>
    <xf numFmtId="0" fontId="38" fillId="13" borderId="27" xfId="0" applyFont="1" applyFill="1" applyBorder="1" applyAlignment="1">
      <alignment horizontal="center" vertical="center" wrapText="1"/>
    </xf>
    <xf numFmtId="166" fontId="38" fillId="13" borderId="27" xfId="1" applyNumberFormat="1" applyFont="1" applyFill="1" applyBorder="1" applyAlignment="1">
      <alignment horizontal="center" vertical="center" wrapText="1"/>
    </xf>
    <xf numFmtId="0" fontId="33" fillId="13" borderId="1" xfId="0" applyFont="1" applyFill="1" applyBorder="1" applyAlignment="1">
      <alignment horizontal="center"/>
    </xf>
    <xf numFmtId="165" fontId="28" fillId="0" borderId="0" xfId="0" quotePrefix="1" applyNumberFormat="1" applyFont="1" applyAlignment="1">
      <alignment horizontal="center"/>
    </xf>
    <xf numFmtId="0" fontId="36" fillId="13" borderId="31" xfId="0" applyFont="1" applyFill="1" applyBorder="1"/>
    <xf numFmtId="14" fontId="31" fillId="0" borderId="5" xfId="0" applyNumberFormat="1" applyFont="1" applyBorder="1" applyProtection="1">
      <protection locked="0"/>
    </xf>
    <xf numFmtId="0" fontId="31" fillId="0" borderId="18" xfId="0" applyFont="1" applyBorder="1" applyAlignment="1" applyProtection="1">
      <alignment horizontal="center"/>
      <protection locked="0"/>
    </xf>
    <xf numFmtId="14" fontId="31" fillId="0" borderId="0" xfId="0" applyNumberFormat="1" applyFont="1"/>
    <xf numFmtId="0" fontId="31" fillId="15" borderId="1" xfId="0" applyFont="1" applyFill="1" applyBorder="1" applyAlignment="1">
      <alignment textRotation="90"/>
    </xf>
    <xf numFmtId="0" fontId="40" fillId="0" borderId="0" xfId="0" applyFont="1"/>
    <xf numFmtId="0" fontId="36" fillId="0" borderId="0" xfId="0" applyFont="1"/>
    <xf numFmtId="14" fontId="36" fillId="0" borderId="0" xfId="0" applyNumberFormat="1" applyFont="1"/>
    <xf numFmtId="0" fontId="40" fillId="0" borderId="0" xfId="0" applyFont="1" applyAlignment="1">
      <alignment horizontal="right"/>
    </xf>
    <xf numFmtId="0" fontId="35" fillId="17" borderId="0" xfId="0" applyFont="1" applyFill="1"/>
    <xf numFmtId="0" fontId="31" fillId="0" borderId="0" xfId="0" applyFont="1" applyAlignment="1">
      <alignment vertical="center"/>
    </xf>
    <xf numFmtId="2" fontId="0" fillId="0" borderId="1" xfId="1" applyNumberFormat="1" applyFont="1" applyBorder="1" applyAlignment="1">
      <alignment horizontal="center"/>
    </xf>
    <xf numFmtId="0" fontId="0" fillId="0" borderId="0" xfId="0" applyAlignment="1">
      <alignment horizontal="center" wrapText="1"/>
    </xf>
    <xf numFmtId="165" fontId="0" fillId="0" borderId="0" xfId="0" applyNumberFormat="1" applyAlignment="1">
      <alignment horizontal="center"/>
    </xf>
    <xf numFmtId="0" fontId="0" fillId="0" borderId="24" xfId="0" applyBorder="1" applyProtection="1">
      <protection locked="0"/>
    </xf>
    <xf numFmtId="168" fontId="0" fillId="0" borderId="0" xfId="0" applyNumberFormat="1"/>
    <xf numFmtId="0" fontId="24" fillId="0" borderId="1" xfId="0" applyFont="1" applyBorder="1" applyProtection="1">
      <protection locked="0"/>
    </xf>
    <xf numFmtId="0" fontId="24" fillId="0" borderId="1" xfId="0" applyFont="1" applyBorder="1"/>
    <xf numFmtId="0" fontId="0" fillId="0" borderId="1" xfId="0" applyBorder="1" applyAlignment="1" applyProtection="1">
      <alignment horizontal="right"/>
      <protection locked="0"/>
    </xf>
    <xf numFmtId="0" fontId="0" fillId="0" borderId="1" xfId="0" applyBorder="1" applyAlignment="1">
      <alignment horizontal="right"/>
    </xf>
    <xf numFmtId="0" fontId="0" fillId="5" borderId="18" xfId="0" applyFill="1" applyBorder="1"/>
    <xf numFmtId="0" fontId="33" fillId="0" borderId="0" xfId="0" applyFont="1" applyAlignment="1">
      <alignment horizontal="center"/>
    </xf>
    <xf numFmtId="0" fontId="37" fillId="15" borderId="1" xfId="0" applyFont="1" applyFill="1" applyBorder="1" applyAlignment="1">
      <alignment horizontal="center"/>
    </xf>
    <xf numFmtId="0" fontId="37" fillId="15" borderId="1" xfId="0" applyFont="1" applyFill="1" applyBorder="1" applyAlignment="1">
      <alignment horizontal="right" wrapText="1"/>
    </xf>
    <xf numFmtId="0" fontId="37" fillId="15" borderId="11" xfId="0" applyFont="1" applyFill="1" applyBorder="1" applyAlignment="1">
      <alignment horizontal="center"/>
    </xf>
    <xf numFmtId="0" fontId="37" fillId="15" borderId="14" xfId="0" applyFont="1" applyFill="1" applyBorder="1" applyAlignment="1">
      <alignment horizontal="right" wrapText="1" indent="1"/>
    </xf>
    <xf numFmtId="9" fontId="37" fillId="15" borderId="14" xfId="1" applyFont="1" applyFill="1" applyBorder="1" applyAlignment="1" applyProtection="1">
      <alignment horizontal="left"/>
    </xf>
    <xf numFmtId="0" fontId="37" fillId="0" borderId="0" xfId="0" applyFont="1"/>
    <xf numFmtId="0" fontId="37" fillId="0" borderId="0" xfId="0" applyFont="1" applyAlignment="1">
      <alignment horizontal="center"/>
    </xf>
    <xf numFmtId="0" fontId="43" fillId="13" borderId="14" xfId="0" applyFont="1" applyFill="1" applyBorder="1" applyAlignment="1">
      <alignment horizontal="center" vertical="center" wrapText="1"/>
    </xf>
    <xf numFmtId="0" fontId="43" fillId="13" borderId="1" xfId="0" applyFont="1" applyFill="1" applyBorder="1" applyAlignment="1">
      <alignment horizontal="center" vertical="center" wrapText="1"/>
    </xf>
    <xf numFmtId="0" fontId="43" fillId="13" borderId="1" xfId="0" applyFont="1" applyFill="1" applyBorder="1" applyAlignment="1">
      <alignment horizontal="center" vertical="top" wrapText="1"/>
    </xf>
    <xf numFmtId="14" fontId="33" fillId="15" borderId="1" xfId="0" applyNumberFormat="1" applyFont="1" applyFill="1" applyBorder="1" applyAlignment="1">
      <alignment horizontal="left" vertical="center" wrapText="1"/>
    </xf>
    <xf numFmtId="0" fontId="33" fillId="15" borderId="1" xfId="0" applyFont="1" applyFill="1" applyBorder="1" applyAlignment="1">
      <alignment horizontal="left" vertical="center" wrapText="1"/>
    </xf>
    <xf numFmtId="0" fontId="33" fillId="15" borderId="1" xfId="0" applyFont="1" applyFill="1" applyBorder="1" applyAlignment="1">
      <alignment horizontal="center" vertical="center" wrapText="1"/>
    </xf>
    <xf numFmtId="0" fontId="33" fillId="0" borderId="1" xfId="0" applyFont="1" applyBorder="1" applyAlignment="1" applyProtection="1">
      <alignment horizontal="left" vertical="center" wrapText="1"/>
      <protection locked="0"/>
    </xf>
    <xf numFmtId="14" fontId="33" fillId="0" borderId="1" xfId="0" applyNumberFormat="1" applyFont="1" applyBorder="1" applyAlignment="1" applyProtection="1">
      <alignment horizontal="left" vertical="center" wrapText="1"/>
      <protection locked="0"/>
    </xf>
    <xf numFmtId="0" fontId="33" fillId="2" borderId="1" xfId="0" applyFont="1" applyFill="1" applyBorder="1" applyAlignment="1">
      <alignment horizontal="left" vertical="center"/>
    </xf>
    <xf numFmtId="0" fontId="46" fillId="4" borderId="18" xfId="0" applyFont="1" applyFill="1" applyBorder="1" applyAlignment="1">
      <alignment horizontal="left" vertical="center" wrapText="1" indent="1"/>
    </xf>
    <xf numFmtId="0" fontId="46" fillId="2" borderId="18" xfId="0" applyFont="1" applyFill="1" applyBorder="1" applyAlignment="1">
      <alignment horizontal="left" vertical="center" wrapText="1"/>
    </xf>
    <xf numFmtId="0" fontId="46" fillId="2" borderId="18" xfId="0" applyFont="1" applyFill="1" applyBorder="1" applyAlignment="1">
      <alignment horizontal="center" vertical="center" wrapText="1"/>
    </xf>
    <xf numFmtId="0" fontId="46" fillId="4" borderId="18" xfId="0" applyFont="1" applyFill="1" applyBorder="1" applyAlignment="1">
      <alignment horizontal="left" vertical="center" wrapText="1"/>
    </xf>
    <xf numFmtId="0" fontId="46" fillId="4" borderId="18" xfId="0" applyFont="1" applyFill="1" applyBorder="1" applyAlignment="1">
      <alignment horizontal="center" vertical="center" wrapText="1"/>
    </xf>
    <xf numFmtId="0" fontId="46" fillId="7" borderId="18" xfId="0" applyFont="1" applyFill="1" applyBorder="1" applyAlignment="1">
      <alignment horizontal="left" vertical="center" wrapText="1"/>
    </xf>
    <xf numFmtId="0" fontId="46" fillId="7" borderId="18" xfId="0" applyFont="1" applyFill="1" applyBorder="1" applyAlignment="1">
      <alignment horizontal="center" vertical="center" wrapText="1"/>
    </xf>
    <xf numFmtId="0" fontId="51" fillId="11" borderId="18" xfId="0" applyFont="1" applyFill="1" applyBorder="1" applyAlignment="1">
      <alignment horizontal="center" vertical="center" wrapText="1"/>
    </xf>
    <xf numFmtId="0" fontId="52" fillId="11" borderId="18" xfId="0" applyFont="1" applyFill="1" applyBorder="1" applyAlignment="1">
      <alignment horizontal="center" vertical="center" wrapText="1"/>
    </xf>
    <xf numFmtId="0" fontId="53" fillId="7" borderId="18" xfId="0" applyFont="1" applyFill="1" applyBorder="1" applyAlignment="1">
      <alignment horizontal="center" vertical="center" wrapText="1"/>
    </xf>
    <xf numFmtId="0" fontId="0" fillId="0" borderId="0" xfId="0" applyAlignment="1">
      <alignment wrapText="1"/>
    </xf>
    <xf numFmtId="0" fontId="55" fillId="0" borderId="0" xfId="0" applyFont="1"/>
    <xf numFmtId="0" fontId="3" fillId="0" borderId="0" xfId="0" applyFont="1"/>
    <xf numFmtId="14" fontId="3" fillId="0" borderId="0" xfId="0" applyNumberFormat="1" applyFont="1"/>
    <xf numFmtId="0" fontId="43" fillId="16" borderId="1" xfId="0" applyFont="1" applyFill="1" applyBorder="1" applyAlignment="1">
      <alignment horizontal="center" vertical="top" wrapText="1"/>
    </xf>
    <xf numFmtId="0" fontId="43" fillId="16" borderId="1" xfId="0" applyFont="1" applyFill="1" applyBorder="1" applyAlignment="1">
      <alignment horizontal="center" vertical="center" wrapText="1"/>
    </xf>
    <xf numFmtId="169" fontId="33" fillId="0" borderId="1" xfId="0" applyNumberFormat="1" applyFont="1" applyBorder="1" applyAlignment="1" applyProtection="1">
      <alignment horizontal="center" vertical="center" wrapText="1"/>
      <protection locked="0"/>
    </xf>
    <xf numFmtId="0" fontId="48" fillId="0" borderId="18" xfId="0" applyFont="1" applyBorder="1" applyAlignment="1">
      <alignment vertical="top" wrapText="1"/>
    </xf>
    <xf numFmtId="0" fontId="32" fillId="0" borderId="0" xfId="0" applyFont="1" applyAlignment="1">
      <alignment horizontal="left"/>
    </xf>
    <xf numFmtId="0" fontId="32" fillId="0" borderId="0" xfId="0" applyFont="1" applyAlignment="1">
      <alignment horizontal="center"/>
    </xf>
    <xf numFmtId="0" fontId="33" fillId="13" borderId="11" xfId="0" applyFont="1" applyFill="1" applyBorder="1" applyAlignment="1">
      <alignment horizontal="center"/>
    </xf>
    <xf numFmtId="0" fontId="33" fillId="13" borderId="14" xfId="0" applyFont="1" applyFill="1" applyBorder="1" applyAlignment="1">
      <alignment horizontal="center"/>
    </xf>
    <xf numFmtId="0" fontId="0" fillId="15" borderId="11" xfId="0" applyFill="1" applyBorder="1" applyAlignment="1">
      <alignment horizontal="left"/>
    </xf>
    <xf numFmtId="0" fontId="0" fillId="15" borderId="14" xfId="0" applyFill="1" applyBorder="1" applyAlignment="1">
      <alignment horizontal="left"/>
    </xf>
    <xf numFmtId="0" fontId="31" fillId="0" borderId="32" xfId="0" applyFont="1" applyBorder="1" applyAlignment="1" applyProtection="1">
      <alignment horizontal="left"/>
      <protection locked="0"/>
    </xf>
    <xf numFmtId="0" fontId="31" fillId="0" borderId="33" xfId="0" applyFont="1" applyBorder="1" applyAlignment="1" applyProtection="1">
      <alignment horizontal="left"/>
      <protection locked="0"/>
    </xf>
    <xf numFmtId="3" fontId="31" fillId="0" borderId="32" xfId="0" applyNumberFormat="1" applyFont="1" applyBorder="1" applyAlignment="1" applyProtection="1">
      <alignment horizontal="left"/>
      <protection locked="0"/>
    </xf>
    <xf numFmtId="3" fontId="31" fillId="0" borderId="33" xfId="0" applyNumberFormat="1" applyFont="1" applyBorder="1" applyAlignment="1" applyProtection="1">
      <alignment horizontal="left"/>
      <protection locked="0"/>
    </xf>
    <xf numFmtId="0" fontId="36" fillId="12" borderId="19" xfId="0" applyFont="1" applyFill="1" applyBorder="1" applyAlignment="1">
      <alignment horizontal="center"/>
    </xf>
    <xf numFmtId="0" fontId="36" fillId="12" borderId="20" xfId="0" applyFont="1" applyFill="1" applyBorder="1" applyAlignment="1">
      <alignment horizontal="center"/>
    </xf>
    <xf numFmtId="0" fontId="36" fillId="12" borderId="0" xfId="0" applyFont="1" applyFill="1" applyAlignment="1">
      <alignment horizontal="center"/>
    </xf>
    <xf numFmtId="0" fontId="36" fillId="12" borderId="7" xfId="0" applyFont="1" applyFill="1" applyBorder="1" applyAlignment="1">
      <alignment horizontal="center"/>
    </xf>
    <xf numFmtId="0" fontId="36" fillId="12" borderId="3" xfId="0" applyFont="1" applyFill="1" applyBorder="1" applyAlignment="1">
      <alignment horizontal="center"/>
    </xf>
    <xf numFmtId="0" fontId="36" fillId="13" borderId="1" xfId="0" applyFont="1" applyFill="1" applyBorder="1" applyAlignment="1">
      <alignment horizontal="center"/>
    </xf>
    <xf numFmtId="0" fontId="36" fillId="13" borderId="23" xfId="0" applyFont="1" applyFill="1" applyBorder="1" applyAlignment="1">
      <alignment horizontal="center"/>
    </xf>
    <xf numFmtId="0" fontId="36" fillId="13" borderId="27" xfId="0" applyFont="1" applyFill="1" applyBorder="1" applyAlignment="1">
      <alignment horizontal="center"/>
    </xf>
    <xf numFmtId="0" fontId="31" fillId="0" borderId="30" xfId="0" applyFont="1" applyBorder="1" applyAlignment="1" applyProtection="1">
      <alignment horizontal="left"/>
      <protection locked="0"/>
    </xf>
    <xf numFmtId="0" fontId="31" fillId="0" borderId="14" xfId="0" applyFont="1" applyBorder="1" applyAlignment="1" applyProtection="1">
      <alignment horizontal="left"/>
      <protection locked="0"/>
    </xf>
    <xf numFmtId="0" fontId="31" fillId="0" borderId="15" xfId="0" applyFont="1" applyBorder="1" applyAlignment="1" applyProtection="1">
      <alignment horizontal="left"/>
      <protection locked="0"/>
    </xf>
    <xf numFmtId="0" fontId="31" fillId="0" borderId="17" xfId="0" applyFont="1" applyBorder="1" applyAlignment="1" applyProtection="1">
      <alignment horizontal="left"/>
      <protection locked="0"/>
    </xf>
    <xf numFmtId="0" fontId="34" fillId="14" borderId="11" xfId="0" applyFont="1" applyFill="1" applyBorder="1" applyAlignment="1">
      <alignment horizontal="center"/>
    </xf>
    <xf numFmtId="0" fontId="34" fillId="14" borderId="30" xfId="0" applyFont="1" applyFill="1" applyBorder="1" applyAlignment="1">
      <alignment horizontal="center"/>
    </xf>
    <xf numFmtId="0" fontId="34" fillId="14" borderId="14" xfId="0" applyFont="1" applyFill="1" applyBorder="1" applyAlignment="1">
      <alignment horizontal="center"/>
    </xf>
    <xf numFmtId="0" fontId="37" fillId="17" borderId="27" xfId="0" applyFont="1" applyFill="1" applyBorder="1" applyAlignment="1">
      <alignment horizontal="center" vertical="center" wrapText="1"/>
    </xf>
    <xf numFmtId="0" fontId="37" fillId="17" borderId="29" xfId="0" applyFont="1" applyFill="1" applyBorder="1" applyAlignment="1">
      <alignment horizontal="center" vertical="center" wrapText="1"/>
    </xf>
    <xf numFmtId="0" fontId="36" fillId="16" borderId="5" xfId="0" applyFont="1" applyFill="1" applyBorder="1" applyAlignment="1">
      <alignment horizontal="center" vertical="center" wrapText="1"/>
    </xf>
    <xf numFmtId="0" fontId="36" fillId="16" borderId="8" xfId="0" applyFont="1" applyFill="1" applyBorder="1" applyAlignment="1">
      <alignment horizontal="center" vertical="center" wrapText="1"/>
    </xf>
    <xf numFmtId="0" fontId="36" fillId="16" borderId="9" xfId="0" applyFont="1" applyFill="1" applyBorder="1" applyAlignment="1">
      <alignment horizontal="center" vertical="center" wrapText="1"/>
    </xf>
    <xf numFmtId="0" fontId="44" fillId="4" borderId="18" xfId="0" applyFont="1" applyFill="1" applyBorder="1" applyAlignment="1">
      <alignment horizontal="center" vertical="center" wrapText="1"/>
    </xf>
    <xf numFmtId="0" fontId="45" fillId="4" borderId="18" xfId="0" applyFont="1" applyFill="1" applyBorder="1" applyAlignment="1">
      <alignment horizontal="center" vertical="center" wrapText="1"/>
    </xf>
    <xf numFmtId="0" fontId="46" fillId="7" borderId="18" xfId="0" applyFont="1" applyFill="1" applyBorder="1" applyAlignment="1">
      <alignment horizontal="center" vertical="center" textRotation="90" wrapText="1"/>
    </xf>
    <xf numFmtId="0" fontId="46" fillId="2" borderId="18" xfId="0" applyFont="1" applyFill="1" applyBorder="1" applyAlignment="1">
      <alignment horizontal="center" vertical="center" textRotation="90" wrapText="1"/>
    </xf>
    <xf numFmtId="0" fontId="46" fillId="2" borderId="18" xfId="0" applyFont="1" applyFill="1" applyBorder="1" applyAlignment="1">
      <alignment horizontal="left" vertical="center" wrapText="1" indent="1"/>
    </xf>
    <xf numFmtId="0" fontId="47" fillId="2" borderId="18" xfId="0" applyFont="1" applyFill="1" applyBorder="1" applyAlignment="1">
      <alignment horizontal="center" vertical="center" wrapText="1"/>
    </xf>
    <xf numFmtId="0" fontId="47" fillId="2" borderId="10" xfId="0" applyFont="1" applyFill="1" applyBorder="1" applyAlignment="1">
      <alignment horizontal="center" vertical="center" wrapText="1"/>
    </xf>
    <xf numFmtId="0" fontId="47" fillId="2" borderId="6" xfId="0" applyFont="1" applyFill="1" applyBorder="1" applyAlignment="1">
      <alignment horizontal="center" vertical="center" wrapText="1"/>
    </xf>
    <xf numFmtId="0" fontId="47" fillId="2" borderId="2" xfId="0" applyFont="1" applyFill="1" applyBorder="1" applyAlignment="1">
      <alignment horizontal="center" vertical="center" wrapText="1"/>
    </xf>
    <xf numFmtId="0" fontId="47" fillId="2" borderId="15" xfId="0" applyFont="1" applyFill="1" applyBorder="1" applyAlignment="1">
      <alignment horizontal="center" vertical="center" wrapText="1"/>
    </xf>
    <xf numFmtId="0" fontId="47" fillId="4" borderId="18" xfId="0" applyFont="1" applyFill="1" applyBorder="1" applyAlignment="1">
      <alignment horizontal="center" vertical="center" wrapText="1"/>
    </xf>
    <xf numFmtId="0" fontId="47" fillId="4" borderId="15" xfId="0" applyFont="1" applyFill="1" applyBorder="1" applyAlignment="1">
      <alignment horizontal="center" vertical="center" wrapText="1"/>
    </xf>
    <xf numFmtId="0" fontId="46" fillId="4" borderId="18" xfId="0" applyFont="1" applyFill="1" applyBorder="1" applyAlignment="1">
      <alignment horizontal="center" vertical="center" textRotation="90" wrapText="1"/>
    </xf>
    <xf numFmtId="0" fontId="44" fillId="0" borderId="2" xfId="0" applyFont="1" applyBorder="1" applyAlignment="1">
      <alignment horizontal="center" vertical="center" wrapText="1"/>
    </xf>
    <xf numFmtId="0" fontId="44" fillId="0" borderId="3" xfId="0" applyFont="1" applyBorder="1" applyAlignment="1">
      <alignment horizontal="center" vertical="center" wrapText="1"/>
    </xf>
    <xf numFmtId="0" fontId="46" fillId="0" borderId="19" xfId="0" applyFont="1" applyBorder="1" applyAlignment="1">
      <alignment horizontal="left" vertical="center" wrapText="1"/>
    </xf>
    <xf numFmtId="0" fontId="46" fillId="0" borderId="3" xfId="0" applyFont="1" applyBorder="1" applyAlignment="1">
      <alignment horizontal="left" vertical="center" wrapText="1"/>
    </xf>
    <xf numFmtId="0" fontId="46" fillId="0" borderId="19" xfId="0" applyFont="1" applyBorder="1" applyAlignment="1">
      <alignment horizontal="left" vertical="center" wrapText="1" indent="1"/>
    </xf>
    <xf numFmtId="0" fontId="46" fillId="0" borderId="20" xfId="0" applyFont="1" applyBorder="1" applyAlignment="1">
      <alignment horizontal="left" vertical="center" wrapText="1" indent="1"/>
    </xf>
    <xf numFmtId="0" fontId="44" fillId="0" borderId="4" xfId="0" applyFont="1" applyBorder="1" applyAlignment="1">
      <alignment horizontal="center" vertical="center" wrapText="1"/>
    </xf>
    <xf numFmtId="0" fontId="46" fillId="4" borderId="18" xfId="0" applyFont="1" applyFill="1" applyBorder="1" applyAlignment="1">
      <alignment horizontal="left" vertical="center" wrapText="1" indent="1"/>
    </xf>
    <xf numFmtId="0" fontId="46" fillId="0" borderId="18" xfId="0" applyFont="1" applyBorder="1" applyAlignment="1">
      <alignment horizontal="left" vertical="center" wrapText="1" indent="1"/>
    </xf>
    <xf numFmtId="0" fontId="44" fillId="0" borderId="5" xfId="0" applyFont="1" applyBorder="1" applyAlignment="1">
      <alignment horizontal="left" vertical="center" wrapText="1" indent="1"/>
    </xf>
    <xf numFmtId="0" fontId="46" fillId="0" borderId="10" xfId="0" applyFont="1" applyBorder="1" applyAlignment="1">
      <alignment horizontal="left" vertical="center" wrapText="1" indent="1"/>
    </xf>
    <xf numFmtId="0" fontId="49" fillId="2" borderId="18" xfId="0" applyFont="1" applyFill="1" applyBorder="1" applyAlignment="1">
      <alignment horizontal="left" vertical="center" wrapText="1" indent="1"/>
    </xf>
    <xf numFmtId="0" fontId="17" fillId="0" borderId="0" xfId="0" applyFont="1" applyAlignment="1">
      <alignment horizontal="center" vertical="center" wrapText="1"/>
    </xf>
    <xf numFmtId="0" fontId="17" fillId="0" borderId="0" xfId="0" applyFont="1" applyAlignment="1">
      <alignment horizontal="center" vertical="center"/>
    </xf>
    <xf numFmtId="0" fontId="44" fillId="4" borderId="9" xfId="0" applyFont="1" applyFill="1" applyBorder="1" applyAlignment="1">
      <alignment horizontal="center" vertical="center" wrapText="1"/>
    </xf>
    <xf numFmtId="0" fontId="46" fillId="4" borderId="18" xfId="0" applyFont="1" applyFill="1" applyBorder="1" applyAlignment="1">
      <alignment vertical="center" textRotation="90" wrapText="1"/>
    </xf>
    <xf numFmtId="0" fontId="47" fillId="7" borderId="18" xfId="0" applyFont="1" applyFill="1" applyBorder="1" applyAlignment="1">
      <alignment horizontal="center" vertical="center" wrapText="1"/>
    </xf>
    <xf numFmtId="0" fontId="47" fillId="7" borderId="15" xfId="0" applyFont="1" applyFill="1" applyBorder="1" applyAlignment="1">
      <alignment horizontal="center" vertical="center" wrapText="1"/>
    </xf>
    <xf numFmtId="9" fontId="14" fillId="0" borderId="15" xfId="1" applyFont="1" applyFill="1" applyBorder="1" applyAlignment="1">
      <alignment horizontal="center" vertical="center" wrapText="1"/>
    </xf>
    <xf numFmtId="9" fontId="14" fillId="0" borderId="18" xfId="1" applyFont="1" applyFill="1" applyBorder="1" applyAlignment="1">
      <alignment horizontal="center" vertical="center" wrapText="1"/>
    </xf>
    <xf numFmtId="9" fontId="14" fillId="0" borderId="5" xfId="1" applyFont="1" applyFill="1" applyBorder="1" applyAlignment="1">
      <alignment horizontal="center" vertical="center" wrapText="1"/>
    </xf>
    <xf numFmtId="9" fontId="14" fillId="0" borderId="8" xfId="1" applyFont="1" applyFill="1" applyBorder="1" applyAlignment="1">
      <alignment horizontal="center" vertical="center" wrapText="1"/>
    </xf>
    <xf numFmtId="9" fontId="14" fillId="0" borderId="9" xfId="1" applyFont="1" applyFill="1" applyBorder="1" applyAlignment="1">
      <alignment horizontal="center" vertical="center" wrapText="1"/>
    </xf>
    <xf numFmtId="9" fontId="14" fillId="0" borderId="15" xfId="1" applyFont="1" applyFill="1" applyBorder="1" applyAlignment="1">
      <alignment vertical="center" wrapText="1"/>
    </xf>
    <xf numFmtId="0" fontId="16" fillId="7" borderId="10" xfId="0" applyFont="1" applyFill="1" applyBorder="1" applyAlignment="1">
      <alignment horizontal="center" vertical="center" wrapText="1"/>
    </xf>
    <xf numFmtId="0" fontId="16" fillId="7" borderId="19" xfId="0" applyFont="1" applyFill="1" applyBorder="1" applyAlignment="1">
      <alignment horizontal="center" vertical="center" wrapText="1"/>
    </xf>
    <xf numFmtId="0" fontId="16" fillId="7" borderId="20" xfId="0" applyFont="1" applyFill="1" applyBorder="1" applyAlignment="1">
      <alignment horizontal="center" vertical="center" wrapText="1"/>
    </xf>
    <xf numFmtId="0" fontId="16" fillId="7" borderId="2" xfId="0" applyFont="1" applyFill="1" applyBorder="1" applyAlignment="1">
      <alignment horizontal="center" vertical="center" wrapText="1"/>
    </xf>
    <xf numFmtId="0" fontId="16" fillId="7" borderId="3" xfId="0" applyFont="1" applyFill="1" applyBorder="1" applyAlignment="1">
      <alignment horizontal="center" vertical="center" wrapText="1"/>
    </xf>
    <xf numFmtId="0" fontId="16" fillId="7" borderId="4" xfId="0" applyFont="1" applyFill="1" applyBorder="1" applyAlignment="1">
      <alignment horizontal="center" vertical="center" wrapText="1"/>
    </xf>
    <xf numFmtId="165" fontId="22" fillId="0" borderId="0" xfId="0" applyNumberFormat="1" applyFont="1" applyAlignment="1">
      <alignment horizontal="center"/>
    </xf>
    <xf numFmtId="0" fontId="21" fillId="13" borderId="15" xfId="0" applyFont="1" applyFill="1" applyBorder="1" applyAlignment="1">
      <alignment horizontal="center"/>
    </xf>
    <xf numFmtId="0" fontId="21" fillId="13" borderId="16" xfId="0" applyFont="1" applyFill="1" applyBorder="1" applyAlignment="1">
      <alignment horizontal="center"/>
    </xf>
    <xf numFmtId="0" fontId="21" fillId="13" borderId="17" xfId="0" applyFont="1" applyFill="1" applyBorder="1" applyAlignment="1">
      <alignment horizontal="center"/>
    </xf>
    <xf numFmtId="0" fontId="18" fillId="13" borderId="1" xfId="0" applyFont="1" applyFill="1" applyBorder="1" applyAlignment="1">
      <alignment horizontal="center" vertical="center"/>
    </xf>
    <xf numFmtId="0" fontId="17" fillId="0" borderId="1" xfId="0" applyFont="1" applyBorder="1" applyAlignment="1">
      <alignment horizontal="left"/>
    </xf>
    <xf numFmtId="0" fontId="19" fillId="13" borderId="1" xfId="0" applyFont="1" applyFill="1" applyBorder="1" applyAlignment="1">
      <alignment horizontal="right" vertical="center"/>
    </xf>
    <xf numFmtId="0" fontId="18" fillId="13" borderId="1" xfId="0" applyFont="1" applyFill="1" applyBorder="1" applyAlignment="1">
      <alignment horizontal="right"/>
    </xf>
    <xf numFmtId="0" fontId="18" fillId="13" borderId="1" xfId="0" applyFont="1" applyFill="1" applyBorder="1" applyAlignment="1">
      <alignment horizontal="right" vertical="center"/>
    </xf>
    <xf numFmtId="3" fontId="17" fillId="0" borderId="11" xfId="0" applyNumberFormat="1" applyFont="1" applyBorder="1" applyAlignment="1">
      <alignment horizontal="left" vertical="center"/>
    </xf>
    <xf numFmtId="3" fontId="17" fillId="0" borderId="14" xfId="0" applyNumberFormat="1" applyFont="1" applyBorder="1" applyAlignment="1">
      <alignment horizontal="left" vertical="center"/>
    </xf>
    <xf numFmtId="0" fontId="50" fillId="11" borderId="18" xfId="0" applyFont="1" applyFill="1" applyBorder="1" applyAlignment="1">
      <alignment horizontal="right" vertical="center" wrapText="1" indent="1"/>
    </xf>
    <xf numFmtId="0" fontId="46" fillId="7" borderId="18" xfId="0" applyFont="1" applyFill="1" applyBorder="1" applyAlignment="1">
      <alignment horizontal="left" vertical="center" wrapText="1" indent="1"/>
    </xf>
    <xf numFmtId="0" fontId="0" fillId="0" borderId="2"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0" fillId="0" borderId="2" xfId="0" applyBorder="1" applyAlignment="1">
      <alignment horizontal="center" vertical="top"/>
    </xf>
    <xf numFmtId="0" fontId="0" fillId="0" borderId="3" xfId="0" applyBorder="1" applyAlignment="1">
      <alignment horizontal="center" vertical="top"/>
    </xf>
    <xf numFmtId="0" fontId="0" fillId="0" borderId="4" xfId="0" applyBorder="1" applyAlignment="1">
      <alignment horizontal="center" vertical="top"/>
    </xf>
    <xf numFmtId="0" fontId="37" fillId="15" borderId="0" xfId="0" applyFont="1" applyFill="1" applyAlignment="1">
      <alignment horizontal="right" wrapText="1"/>
    </xf>
    <xf numFmtId="0" fontId="37" fillId="15" borderId="26" xfId="0" applyFont="1" applyFill="1" applyBorder="1" applyAlignment="1">
      <alignment horizontal="right" wrapText="1"/>
    </xf>
    <xf numFmtId="0" fontId="0" fillId="0" borderId="11" xfId="0" applyBorder="1" applyAlignment="1">
      <alignment horizontal="center"/>
    </xf>
    <xf numFmtId="0" fontId="0" fillId="0" borderId="30" xfId="0" applyBorder="1" applyAlignment="1">
      <alignment horizontal="center"/>
    </xf>
    <xf numFmtId="0" fontId="0" fillId="0" borderId="14" xfId="0" applyBorder="1" applyAlignment="1">
      <alignment horizontal="center"/>
    </xf>
    <xf numFmtId="14" fontId="0" fillId="0" borderId="11" xfId="0" applyNumberFormat="1" applyBorder="1" applyAlignment="1">
      <alignment horizontal="center"/>
    </xf>
    <xf numFmtId="14" fontId="0" fillId="0" borderId="30" xfId="0" applyNumberFormat="1" applyBorder="1" applyAlignment="1">
      <alignment horizontal="center"/>
    </xf>
    <xf numFmtId="14" fontId="0" fillId="0" borderId="14" xfId="0" applyNumberFormat="1" applyBorder="1" applyAlignment="1">
      <alignment horizontal="center"/>
    </xf>
    <xf numFmtId="166" fontId="0" fillId="0" borderId="1" xfId="1" applyNumberFormat="1" applyFont="1" applyBorder="1" applyAlignment="1">
      <alignment horizontal="center" vertical="center"/>
    </xf>
    <xf numFmtId="0" fontId="2" fillId="13" borderId="1" xfId="0" applyFont="1" applyFill="1" applyBorder="1" applyAlignment="1">
      <alignment horizontal="center" vertical="center" wrapText="1"/>
    </xf>
    <xf numFmtId="0" fontId="33" fillId="18" borderId="1" xfId="0" applyFont="1" applyFill="1" applyBorder="1" applyAlignment="1">
      <alignment horizontal="center" vertical="center" wrapText="1"/>
    </xf>
    <xf numFmtId="0" fontId="35" fillId="0" borderId="0" xfId="0" applyFont="1" applyAlignment="1">
      <alignment horizontal="left"/>
    </xf>
    <xf numFmtId="0" fontId="39" fillId="13" borderId="0" xfId="0" applyFont="1" applyFill="1" applyAlignment="1">
      <alignment horizontal="center"/>
    </xf>
    <xf numFmtId="167" fontId="40" fillId="0" borderId="0" xfId="0" applyNumberFormat="1" applyFont="1" applyAlignment="1">
      <alignment horizontal="left"/>
    </xf>
    <xf numFmtId="0" fontId="31" fillId="15" borderId="1" xfId="0" applyFont="1" applyFill="1" applyBorder="1" applyAlignment="1">
      <alignment horizontal="left" vertical="center" wrapText="1"/>
    </xf>
    <xf numFmtId="0" fontId="31" fillId="15" borderId="11" xfId="0" applyFont="1" applyFill="1" applyBorder="1" applyAlignment="1">
      <alignment horizontal="center" vertical="center" wrapText="1"/>
    </xf>
    <xf numFmtId="0" fontId="31" fillId="15" borderId="30" xfId="0" applyFont="1" applyFill="1" applyBorder="1" applyAlignment="1">
      <alignment horizontal="center" vertical="center" wrapText="1"/>
    </xf>
    <xf numFmtId="0" fontId="31" fillId="15" borderId="14" xfId="0" applyFont="1" applyFill="1" applyBorder="1" applyAlignment="1">
      <alignment horizontal="center" vertical="center" wrapText="1"/>
    </xf>
    <xf numFmtId="0" fontId="31" fillId="18" borderId="1" xfId="0" applyFont="1" applyFill="1" applyBorder="1" applyAlignment="1">
      <alignment horizontal="left" vertical="center"/>
    </xf>
    <xf numFmtId="0" fontId="31" fillId="18" borderId="1" xfId="0" applyFont="1" applyFill="1" applyBorder="1" applyAlignment="1">
      <alignment horizontal="left"/>
    </xf>
    <xf numFmtId="0" fontId="31" fillId="15" borderId="1" xfId="0" applyFont="1" applyFill="1" applyBorder="1" applyAlignment="1">
      <alignment horizontal="center"/>
    </xf>
    <xf numFmtId="0" fontId="31" fillId="15" borderId="11" xfId="0" applyFont="1" applyFill="1" applyBorder="1" applyAlignment="1">
      <alignment horizontal="center"/>
    </xf>
    <xf numFmtId="0" fontId="31" fillId="15" borderId="30" xfId="0" applyFont="1" applyFill="1" applyBorder="1" applyAlignment="1">
      <alignment horizontal="center"/>
    </xf>
    <xf numFmtId="0" fontId="31" fillId="15" borderId="14" xfId="0" applyFont="1" applyFill="1" applyBorder="1" applyAlignment="1">
      <alignment horizontal="center"/>
    </xf>
    <xf numFmtId="0" fontId="31" fillId="18" borderId="1" xfId="0" applyFont="1" applyFill="1" applyBorder="1" applyAlignment="1">
      <alignment horizontal="center"/>
    </xf>
  </cellXfs>
  <cellStyles count="2">
    <cellStyle name="Normal" xfId="0" builtinId="0"/>
    <cellStyle name="Porcentaje" xfId="1" builtinId="5"/>
  </cellStyles>
  <dxfs count="114">
    <dxf>
      <fill>
        <patternFill>
          <bgColor rgb="FFF9B036"/>
        </patternFill>
      </fill>
    </dxf>
    <dxf>
      <fill>
        <patternFill>
          <bgColor rgb="FFF9B036"/>
        </patternFill>
      </fill>
    </dxf>
    <dxf>
      <fill>
        <patternFill>
          <bgColor rgb="FFF9B036"/>
        </patternFill>
      </fill>
    </dxf>
    <dxf>
      <fill>
        <patternFill>
          <bgColor rgb="FFF9B036"/>
        </patternFill>
      </fill>
    </dxf>
    <dxf>
      <fill>
        <patternFill>
          <bgColor rgb="FFF9B036"/>
        </patternFill>
      </fill>
    </dxf>
    <dxf>
      <fill>
        <patternFill>
          <bgColor rgb="FFF9B036"/>
        </patternFill>
      </fill>
    </dxf>
    <dxf>
      <fill>
        <patternFill>
          <bgColor rgb="FFF9B036"/>
        </patternFill>
      </fill>
    </dxf>
    <dxf>
      <fill>
        <patternFill>
          <bgColor rgb="FF92D050"/>
        </patternFill>
      </fill>
    </dxf>
    <dxf>
      <font>
        <color theme="0"/>
      </font>
      <fill>
        <patternFill>
          <bgColor rgb="FFFF0000"/>
        </patternFill>
      </fill>
    </dxf>
    <dxf>
      <fill>
        <patternFill>
          <bgColor rgb="FFFFFF00"/>
        </patternFill>
      </fill>
    </dxf>
    <dxf>
      <font>
        <color theme="0"/>
      </font>
      <fill>
        <patternFill>
          <bgColor theme="0" tint="-0.499984740745262"/>
        </patternFill>
      </fill>
    </dxf>
    <dxf>
      <fill>
        <patternFill>
          <bgColor rgb="FFFFFF00"/>
        </patternFill>
      </fill>
    </dxf>
    <dxf>
      <font>
        <color theme="0"/>
      </font>
      <fill>
        <patternFill>
          <bgColor theme="0" tint="-0.499984740745262"/>
        </patternFill>
      </fill>
    </dxf>
    <dxf>
      <fill>
        <patternFill>
          <bgColor rgb="FFFFFF00"/>
        </patternFill>
      </fill>
    </dxf>
    <dxf>
      <font>
        <color theme="0"/>
      </font>
      <fill>
        <patternFill>
          <bgColor theme="0" tint="-0.499984740745262"/>
        </patternFill>
      </fill>
    </dxf>
    <dxf>
      <fill>
        <patternFill>
          <bgColor rgb="FFFFFF00"/>
        </patternFill>
      </fill>
    </dxf>
    <dxf>
      <font>
        <color theme="0"/>
      </font>
      <fill>
        <patternFill>
          <bgColor theme="0" tint="-0.499984740745262"/>
        </patternFill>
      </fill>
    </dxf>
    <dxf>
      <font>
        <color theme="0"/>
      </font>
      <fill>
        <patternFill>
          <bgColor theme="0" tint="-0.499984740745262"/>
        </patternFill>
      </fill>
    </dxf>
    <dxf>
      <font>
        <color theme="0"/>
      </font>
      <fill>
        <patternFill>
          <bgColor theme="0" tint="-0.499984740745262"/>
        </patternFill>
      </fill>
    </dxf>
    <dxf>
      <fill>
        <patternFill>
          <bgColor theme="0"/>
        </patternFill>
      </fill>
    </dxf>
    <dxf>
      <fill>
        <patternFill>
          <bgColor rgb="FFFFFF00"/>
        </patternFill>
      </fill>
    </dxf>
    <dxf>
      <font>
        <color theme="0"/>
      </font>
      <fill>
        <patternFill>
          <bgColor theme="0" tint="-0.499984740745262"/>
        </patternFill>
      </fill>
    </dxf>
    <dxf>
      <fill>
        <patternFill>
          <bgColor theme="0"/>
        </patternFill>
      </fill>
    </dxf>
    <dxf>
      <fill>
        <patternFill>
          <bgColor rgb="FFFFFF00"/>
        </patternFill>
      </fill>
    </dxf>
    <dxf>
      <fill>
        <patternFill>
          <bgColor rgb="FFFFFF00"/>
        </patternFill>
      </fill>
    </dxf>
    <dxf>
      <font>
        <color theme="0"/>
      </font>
      <fill>
        <patternFill>
          <bgColor theme="0" tint="-0.499984740745262"/>
        </patternFill>
      </fill>
    </dxf>
    <dxf>
      <font>
        <color theme="0"/>
      </font>
      <fill>
        <patternFill>
          <bgColor theme="0" tint="-0.499984740745262"/>
        </patternFill>
      </fill>
    </dxf>
    <dxf>
      <fill>
        <patternFill>
          <bgColor rgb="FFFFFF00"/>
        </patternFill>
      </fill>
    </dxf>
    <dxf>
      <font>
        <color theme="0"/>
      </font>
      <fill>
        <patternFill>
          <bgColor theme="0" tint="-0.499984740745262"/>
        </patternFill>
      </fill>
    </dxf>
    <dxf>
      <font>
        <color theme="0"/>
      </font>
      <fill>
        <patternFill>
          <bgColor theme="0" tint="-0.499984740745262"/>
        </patternFill>
      </fill>
    </dxf>
    <dxf>
      <fill>
        <patternFill>
          <bgColor rgb="FFFFFF00"/>
        </patternFill>
      </fill>
    </dxf>
    <dxf>
      <font>
        <color theme="0"/>
      </font>
      <fill>
        <patternFill>
          <bgColor theme="0" tint="-0.499984740745262"/>
        </patternFill>
      </fill>
    </dxf>
    <dxf>
      <font>
        <color theme="0"/>
      </font>
      <fill>
        <patternFill>
          <bgColor theme="0" tint="-0.499984740745262"/>
        </patternFill>
      </fill>
    </dxf>
    <dxf>
      <fill>
        <patternFill>
          <bgColor rgb="FFFFFF00"/>
        </patternFill>
      </fill>
    </dxf>
    <dxf>
      <font>
        <color theme="0"/>
      </font>
      <fill>
        <patternFill>
          <bgColor theme="0" tint="-0.499984740745262"/>
        </patternFill>
      </fill>
    </dxf>
    <dxf>
      <font>
        <color theme="0"/>
      </font>
      <fill>
        <patternFill>
          <bgColor theme="0" tint="-0.499984740745262"/>
        </patternFill>
      </fill>
    </dxf>
    <dxf>
      <fill>
        <patternFill>
          <bgColor rgb="FFFFFF00"/>
        </patternFill>
      </fill>
    </dxf>
    <dxf>
      <font>
        <color theme="0"/>
      </font>
      <fill>
        <patternFill>
          <bgColor theme="0" tint="-0.499984740745262"/>
        </patternFill>
      </fill>
    </dxf>
    <dxf>
      <font>
        <color theme="0"/>
      </font>
      <fill>
        <patternFill>
          <bgColor theme="0" tint="-0.499984740745262"/>
        </patternFill>
      </fill>
    </dxf>
    <dxf>
      <font>
        <color theme="0"/>
      </font>
      <fill>
        <patternFill>
          <bgColor theme="0" tint="-0.499984740745262"/>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theme="0"/>
      </font>
      <fill>
        <patternFill>
          <bgColor theme="0" tint="-0.499984740745262"/>
        </patternFill>
      </fill>
    </dxf>
    <dxf>
      <font>
        <color theme="0"/>
      </font>
      <fill>
        <patternFill>
          <bgColor theme="0" tint="-0.499984740745262"/>
        </patternFill>
      </fill>
    </dxf>
    <dxf>
      <font>
        <color theme="0"/>
      </font>
      <fill>
        <patternFill>
          <bgColor theme="0" tint="-0.499984740745262"/>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theme="0"/>
      </font>
      <fill>
        <patternFill>
          <bgColor theme="0" tint="-0.499984740745262"/>
        </patternFill>
      </fill>
    </dxf>
    <dxf>
      <font>
        <color theme="0"/>
      </font>
      <fill>
        <patternFill>
          <bgColor theme="0" tint="-0.499984740745262"/>
        </patternFill>
      </fill>
    </dxf>
    <dxf>
      <font>
        <color theme="0"/>
      </font>
      <fill>
        <patternFill>
          <bgColor theme="0" tint="-0.499984740745262"/>
        </patternFill>
      </fill>
    </dxf>
    <dxf>
      <fill>
        <patternFill>
          <bgColor theme="0"/>
        </patternFill>
      </fill>
    </dxf>
    <dxf>
      <fill>
        <patternFill>
          <bgColor rgb="FFFFFF00"/>
        </patternFill>
      </fill>
    </dxf>
    <dxf>
      <fill>
        <patternFill>
          <bgColor rgb="FFFFFF00"/>
        </patternFill>
      </fill>
    </dxf>
    <dxf>
      <font>
        <color theme="0"/>
      </font>
      <fill>
        <patternFill>
          <bgColor theme="0" tint="-0.499984740745262"/>
        </patternFill>
      </fill>
    </dxf>
    <dxf>
      <fill>
        <patternFill>
          <bgColor theme="0"/>
        </patternFill>
      </fill>
    </dxf>
    <dxf>
      <fill>
        <patternFill>
          <bgColor rgb="FFFFFF00"/>
        </patternFill>
      </fill>
    </dxf>
    <dxf>
      <fill>
        <patternFill>
          <bgColor rgb="FFFFFF00"/>
        </patternFill>
      </fill>
    </dxf>
    <dxf>
      <font>
        <color theme="0"/>
      </font>
      <fill>
        <patternFill>
          <bgColor theme="0" tint="-0.499984740745262"/>
        </patternFill>
      </fill>
    </dxf>
    <dxf>
      <fill>
        <patternFill>
          <bgColor theme="0"/>
        </patternFill>
      </fill>
    </dxf>
    <dxf>
      <fill>
        <patternFill>
          <bgColor rgb="FFFFFF00"/>
        </patternFill>
      </fill>
    </dxf>
    <dxf>
      <fill>
        <patternFill>
          <bgColor rgb="FFFFFF00"/>
        </patternFill>
      </fill>
    </dxf>
    <dxf>
      <font>
        <color theme="0"/>
      </font>
      <fill>
        <patternFill>
          <bgColor theme="0" tint="-0.499984740745262"/>
        </patternFill>
      </fill>
    </dxf>
    <dxf>
      <fill>
        <patternFill>
          <bgColor theme="0"/>
        </patternFill>
      </fill>
    </dxf>
    <dxf>
      <fill>
        <patternFill>
          <bgColor rgb="FFFFFF00"/>
        </patternFill>
      </fill>
    </dxf>
    <dxf>
      <fill>
        <patternFill>
          <bgColor rgb="FFFFFF00"/>
        </patternFill>
      </fill>
    </dxf>
    <dxf>
      <font>
        <color theme="0"/>
      </font>
      <fill>
        <patternFill>
          <bgColor theme="0" tint="-0.499984740745262"/>
        </patternFill>
      </fill>
    </dxf>
    <dxf>
      <fill>
        <patternFill>
          <bgColor theme="0"/>
        </patternFill>
      </fill>
    </dxf>
    <dxf>
      <fill>
        <patternFill>
          <bgColor rgb="FFFFFF00"/>
        </patternFill>
      </fill>
    </dxf>
    <dxf>
      <fill>
        <patternFill>
          <bgColor rgb="FFFFFF00"/>
        </patternFill>
      </fill>
    </dxf>
    <dxf>
      <font>
        <color theme="0"/>
      </font>
      <fill>
        <patternFill>
          <bgColor theme="0" tint="-0.499984740745262"/>
        </patternFill>
      </fill>
    </dxf>
    <dxf>
      <fill>
        <patternFill>
          <bgColor theme="0"/>
        </patternFill>
      </fill>
    </dxf>
    <dxf>
      <fill>
        <patternFill>
          <bgColor rgb="FFFFFF00"/>
        </patternFill>
      </fill>
    </dxf>
    <dxf>
      <fill>
        <patternFill>
          <bgColor rgb="FFFFFF00"/>
        </patternFill>
      </fill>
    </dxf>
    <dxf>
      <font>
        <color theme="0"/>
      </font>
      <fill>
        <patternFill>
          <bgColor theme="0" tint="-0.499984740745262"/>
        </patternFill>
      </fill>
    </dxf>
    <dxf>
      <fill>
        <patternFill>
          <bgColor theme="0"/>
        </patternFill>
      </fill>
    </dxf>
    <dxf>
      <fill>
        <patternFill>
          <bgColor rgb="FFFFFF00"/>
        </patternFill>
      </fill>
    </dxf>
    <dxf>
      <font>
        <color theme="0"/>
      </font>
      <fill>
        <patternFill>
          <bgColor theme="0" tint="-0.499984740745262"/>
        </patternFill>
      </fill>
    </dxf>
    <dxf>
      <fill>
        <patternFill>
          <bgColor theme="0"/>
        </patternFill>
      </fill>
    </dxf>
    <dxf>
      <fill>
        <patternFill>
          <bgColor rgb="FFFFFF00"/>
        </patternFill>
      </fill>
    </dxf>
    <dxf>
      <fill>
        <patternFill>
          <bgColor rgb="FFFFFF00"/>
        </patternFill>
      </fill>
    </dxf>
    <dxf>
      <font>
        <color theme="0"/>
      </font>
      <fill>
        <patternFill>
          <bgColor theme="0" tint="-0.499984740745262"/>
        </patternFill>
      </fill>
    </dxf>
    <dxf>
      <font>
        <color theme="0"/>
      </font>
      <fill>
        <patternFill>
          <bgColor theme="0" tint="-0.499984740745262"/>
        </patternFill>
      </fill>
    </dxf>
    <dxf>
      <font>
        <color theme="0"/>
      </font>
      <fill>
        <patternFill>
          <bgColor theme="0" tint="-0.499984740745262"/>
        </patternFill>
      </fill>
    </dxf>
    <dxf>
      <font>
        <color theme="0"/>
      </font>
      <fill>
        <patternFill>
          <bgColor theme="0" tint="-0.499984740745262"/>
        </patternFill>
      </fill>
    </dxf>
    <dxf>
      <fill>
        <patternFill>
          <bgColor rgb="FFFFFF00"/>
        </patternFill>
      </fill>
    </dxf>
    <dxf>
      <fill>
        <patternFill>
          <bgColor rgb="FFFFFF00"/>
        </patternFill>
      </fill>
    </dxf>
    <dxf>
      <font>
        <color theme="0"/>
      </font>
      <fill>
        <patternFill>
          <bgColor theme="0" tint="-0.499984740745262"/>
        </patternFill>
      </fill>
    </dxf>
    <dxf>
      <font>
        <color theme="0"/>
      </font>
      <fill>
        <patternFill>
          <bgColor theme="0" tint="-0.499984740745262"/>
        </patternFill>
      </fill>
    </dxf>
    <dxf>
      <fill>
        <patternFill>
          <bgColor rgb="FFFFFF00"/>
        </patternFill>
      </fill>
    </dxf>
    <dxf>
      <font>
        <color theme="0"/>
      </font>
      <fill>
        <patternFill>
          <bgColor theme="0" tint="-0.499984740745262"/>
        </patternFill>
      </fill>
    </dxf>
    <dxf>
      <font>
        <color theme="0"/>
      </font>
      <fill>
        <patternFill>
          <bgColor theme="0" tint="-0.499984740745262"/>
        </patternFill>
      </fill>
    </dxf>
    <dxf>
      <fill>
        <patternFill>
          <bgColor rgb="FFFFFF00"/>
        </patternFill>
      </fill>
    </dxf>
    <dxf>
      <font>
        <color theme="0"/>
      </font>
      <fill>
        <patternFill>
          <bgColor theme="0" tint="-0.499984740745262"/>
        </patternFill>
      </fill>
    </dxf>
    <dxf>
      <font>
        <color theme="0"/>
      </font>
      <fill>
        <patternFill>
          <bgColor theme="0" tint="-0.499984740745262"/>
        </patternFill>
      </fill>
    </dxf>
    <dxf>
      <font>
        <color theme="0"/>
      </font>
      <fill>
        <patternFill>
          <bgColor theme="0" tint="-0.499984740745262"/>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theme="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s>
  <tableStyles count="0" defaultTableStyle="TableStyleMedium2" defaultPivotStyle="PivotStyleLight16"/>
  <colors>
    <mruColors>
      <color rgb="FFFFE433"/>
      <color rgb="FFFEC82F"/>
      <color rgb="FF464646"/>
      <color rgb="FFF9B036"/>
      <color rgb="FF0097AE"/>
      <color rgb="FFFFF6A5"/>
      <color rgb="FFFF0000"/>
      <color rgb="FFFF9237"/>
      <color rgb="FFFFF171"/>
      <color rgb="FF00A4B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hartsheet" Target="chartsheets/sheet2.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hartsheet" Target="chartsheets/sheet1.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hartsheet" Target="chartsheets/sheet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radarChart>
        <c:radarStyle val="marker"/>
        <c:varyColors val="0"/>
        <c:ser>
          <c:idx val="0"/>
          <c:order val="0"/>
          <c:marker>
            <c:symbol val="none"/>
          </c:marker>
          <c:cat>
            <c:strRef>
              <c:f>Info1!$B$5:$B$11</c:f>
              <c:strCache>
                <c:ptCount val="7"/>
                <c:pt idx="0">
                  <c:v>P - Recursos</c:v>
                </c:pt>
                <c:pt idx="1">
                  <c:v>P - Gestión Integral del SG SST</c:v>
                </c:pt>
                <c:pt idx="2">
                  <c:v>H - Gestión de la Salud</c:v>
                </c:pt>
                <c:pt idx="3">
                  <c:v>H - Gestión de Peligros y Riesgos</c:v>
                </c:pt>
                <c:pt idx="4">
                  <c:v>H - Gestión de Amenazas</c:v>
                </c:pt>
                <c:pt idx="5">
                  <c:v>V - Verificación del SG SST</c:v>
                </c:pt>
                <c:pt idx="6">
                  <c:v>A - Mejoramiento</c:v>
                </c:pt>
              </c:strCache>
            </c:strRef>
          </c:cat>
          <c:val>
            <c:numRef>
              <c:f>Info1!$E$5:$E$11</c:f>
              <c:numCache>
                <c:formatCode>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0-0191-4363-960C-7E006BDC7865}"/>
            </c:ext>
          </c:extLst>
        </c:ser>
        <c:dLbls>
          <c:showLegendKey val="0"/>
          <c:showVal val="0"/>
          <c:showCatName val="0"/>
          <c:showSerName val="0"/>
          <c:showPercent val="0"/>
          <c:showBubbleSize val="0"/>
        </c:dLbls>
        <c:axId val="109745152"/>
        <c:axId val="99838784"/>
      </c:radarChart>
      <c:catAx>
        <c:axId val="109745152"/>
        <c:scaling>
          <c:orientation val="minMax"/>
        </c:scaling>
        <c:delete val="0"/>
        <c:axPos val="b"/>
        <c:majorGridlines/>
        <c:numFmt formatCode="General" sourceLinked="0"/>
        <c:majorTickMark val="out"/>
        <c:minorTickMark val="none"/>
        <c:tickLblPos val="nextTo"/>
        <c:crossAx val="99838784"/>
        <c:crosses val="autoZero"/>
        <c:auto val="1"/>
        <c:lblAlgn val="ctr"/>
        <c:lblOffset val="100"/>
        <c:noMultiLvlLbl val="0"/>
      </c:catAx>
      <c:valAx>
        <c:axId val="99838784"/>
        <c:scaling>
          <c:orientation val="minMax"/>
        </c:scaling>
        <c:delete val="0"/>
        <c:axPos val="l"/>
        <c:majorGridlines/>
        <c:numFmt formatCode="0%" sourceLinked="1"/>
        <c:majorTickMark val="cross"/>
        <c:minorTickMark val="none"/>
        <c:tickLblPos val="nextTo"/>
        <c:crossAx val="109745152"/>
        <c:crosses val="autoZero"/>
        <c:crossBetween val="between"/>
        <c:majorUnit val="0.2"/>
        <c:minorUnit val="5.000000000000001E-2"/>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solidFill>
              <a:srgbClr val="0097AE"/>
            </a:solidFill>
          </c:spPr>
          <c:invertIfNegative val="0"/>
          <c:cat>
            <c:strRef>
              <c:f>Info1!$B$18:$B$21</c:f>
              <c:strCache>
                <c:ptCount val="4"/>
                <c:pt idx="0">
                  <c:v>Planear</c:v>
                </c:pt>
                <c:pt idx="1">
                  <c:v>Hacer</c:v>
                </c:pt>
                <c:pt idx="2">
                  <c:v>Verificar</c:v>
                </c:pt>
                <c:pt idx="3">
                  <c:v>Actuar</c:v>
                </c:pt>
              </c:strCache>
            </c:strRef>
          </c:cat>
          <c:val>
            <c:numRef>
              <c:f>Info1!$E$18:$E$21</c:f>
              <c:numCache>
                <c:formatCode>0%</c:formatCode>
                <c:ptCount val="4"/>
                <c:pt idx="0">
                  <c:v>0</c:v>
                </c:pt>
                <c:pt idx="1">
                  <c:v>0</c:v>
                </c:pt>
                <c:pt idx="2">
                  <c:v>0</c:v>
                </c:pt>
                <c:pt idx="3">
                  <c:v>0</c:v>
                </c:pt>
              </c:numCache>
            </c:numRef>
          </c:val>
          <c:extLst>
            <c:ext xmlns:c16="http://schemas.microsoft.com/office/drawing/2014/chart" uri="{C3380CC4-5D6E-409C-BE32-E72D297353CC}">
              <c16:uniqueId val="{00000000-7E01-484F-95EF-C57C5923BAFD}"/>
            </c:ext>
          </c:extLst>
        </c:ser>
        <c:dLbls>
          <c:showLegendKey val="0"/>
          <c:showVal val="0"/>
          <c:showCatName val="0"/>
          <c:showSerName val="0"/>
          <c:showPercent val="0"/>
          <c:showBubbleSize val="0"/>
        </c:dLbls>
        <c:gapWidth val="150"/>
        <c:axId val="109746688"/>
        <c:axId val="99842240"/>
      </c:barChart>
      <c:catAx>
        <c:axId val="109746688"/>
        <c:scaling>
          <c:orientation val="minMax"/>
        </c:scaling>
        <c:delete val="0"/>
        <c:axPos val="b"/>
        <c:numFmt formatCode="General" sourceLinked="0"/>
        <c:majorTickMark val="out"/>
        <c:minorTickMark val="none"/>
        <c:tickLblPos val="nextTo"/>
        <c:crossAx val="99842240"/>
        <c:crosses val="autoZero"/>
        <c:auto val="1"/>
        <c:lblAlgn val="ctr"/>
        <c:lblOffset val="100"/>
        <c:noMultiLvlLbl val="0"/>
      </c:catAx>
      <c:valAx>
        <c:axId val="99842240"/>
        <c:scaling>
          <c:orientation val="minMax"/>
          <c:max val="1"/>
        </c:scaling>
        <c:delete val="0"/>
        <c:axPos val="l"/>
        <c:majorGridlines/>
        <c:numFmt formatCode="0%" sourceLinked="1"/>
        <c:majorTickMark val="out"/>
        <c:minorTickMark val="none"/>
        <c:tickLblPos val="nextTo"/>
        <c:crossAx val="109746688"/>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autoTitleDeleted val="1"/>
    <c:plotArea>
      <c:layout>
        <c:manualLayout>
          <c:layoutTarget val="inner"/>
          <c:xMode val="edge"/>
          <c:yMode val="edge"/>
          <c:x val="0.25717445211215134"/>
          <c:y val="0.24809097647327638"/>
          <c:w val="0.49150813367580387"/>
          <c:h val="0.75647753907304793"/>
        </c:manualLayout>
      </c:layout>
      <c:radarChart>
        <c:radarStyle val="marker"/>
        <c:varyColors val="0"/>
        <c:ser>
          <c:idx val="0"/>
          <c:order val="0"/>
          <c:tx>
            <c:strRef>
              <c:f>Info2!$I$2:$I$4</c:f>
              <c:strCache>
                <c:ptCount val="3"/>
                <c:pt idx="0">
                  <c:v>PRUEBAS CARGUE PA 01</c:v>
                </c:pt>
                <c:pt idx="1">
                  <c:v>15/04/2020</c:v>
                </c:pt>
                <c:pt idx="2">
                  <c:v>Sel 1 (%)</c:v>
                </c:pt>
              </c:strCache>
            </c:strRef>
          </c:tx>
          <c:spPr>
            <a:ln>
              <a:solidFill>
                <a:srgbClr val="0097AE"/>
              </a:solidFill>
            </a:ln>
          </c:spPr>
          <c:marker>
            <c:symbol val="none"/>
          </c:marker>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Info2!$B$5:$B$11</c:f>
              <c:strCache>
                <c:ptCount val="7"/>
                <c:pt idx="0">
                  <c:v>P - Recursos</c:v>
                </c:pt>
                <c:pt idx="1">
                  <c:v>P - Gestión Integral del SG SST</c:v>
                </c:pt>
                <c:pt idx="2">
                  <c:v>H - Gestión de la Salud</c:v>
                </c:pt>
                <c:pt idx="3">
                  <c:v>H - Gestión de Peligros y Riesgos</c:v>
                </c:pt>
                <c:pt idx="4">
                  <c:v>H - Gestión de Amenazas</c:v>
                </c:pt>
                <c:pt idx="5">
                  <c:v>V - Verificación del SG SST</c:v>
                </c:pt>
                <c:pt idx="6">
                  <c:v>A - Mejoramiento</c:v>
                </c:pt>
              </c:strCache>
            </c:strRef>
          </c:cat>
          <c:val>
            <c:numRef>
              <c:f>Info2!$I$5:$I$11</c:f>
              <c:numCache>
                <c:formatCode>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0-B81C-43C0-B18F-A0DF1E48DB71}"/>
            </c:ext>
          </c:extLst>
        </c:ser>
        <c:ser>
          <c:idx val="1"/>
          <c:order val="1"/>
          <c:tx>
            <c:strRef>
              <c:f>Info2!$J$2:$J$4</c:f>
              <c:strCache>
                <c:ptCount val="3"/>
                <c:pt idx="0">
                  <c:v>PRUEBAS 02</c:v>
                </c:pt>
                <c:pt idx="1">
                  <c:v>10/04/2020</c:v>
                </c:pt>
                <c:pt idx="2">
                  <c:v>Sel 2 (%)</c:v>
                </c:pt>
              </c:strCache>
            </c:strRef>
          </c:tx>
          <c:marker>
            <c:symbol val="none"/>
          </c:marker>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Info2!$B$5:$B$11</c:f>
              <c:strCache>
                <c:ptCount val="7"/>
                <c:pt idx="0">
                  <c:v>P - Recursos</c:v>
                </c:pt>
                <c:pt idx="1">
                  <c:v>P - Gestión Integral del SG SST</c:v>
                </c:pt>
                <c:pt idx="2">
                  <c:v>H - Gestión de la Salud</c:v>
                </c:pt>
                <c:pt idx="3">
                  <c:v>H - Gestión de Peligros y Riesgos</c:v>
                </c:pt>
                <c:pt idx="4">
                  <c:v>H - Gestión de Amenazas</c:v>
                </c:pt>
                <c:pt idx="5">
                  <c:v>V - Verificación del SG SST</c:v>
                </c:pt>
                <c:pt idx="6">
                  <c:v>A - Mejoramiento</c:v>
                </c:pt>
              </c:strCache>
            </c:strRef>
          </c:cat>
          <c:val>
            <c:numRef>
              <c:f>Info2!$J$5:$J$11</c:f>
              <c:numCache>
                <c:formatCode>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1-B81C-43C0-B18F-A0DF1E48DB71}"/>
            </c:ext>
          </c:extLst>
        </c:ser>
        <c:dLbls>
          <c:showLegendKey val="0"/>
          <c:showVal val="1"/>
          <c:showCatName val="0"/>
          <c:showSerName val="0"/>
          <c:showPercent val="0"/>
          <c:showBubbleSize val="0"/>
        </c:dLbls>
        <c:axId val="110118400"/>
        <c:axId val="99843392"/>
      </c:radarChart>
      <c:catAx>
        <c:axId val="110118400"/>
        <c:scaling>
          <c:orientation val="minMax"/>
        </c:scaling>
        <c:delete val="0"/>
        <c:axPos val="b"/>
        <c:majorGridlines/>
        <c:numFmt formatCode="General" sourceLinked="0"/>
        <c:majorTickMark val="none"/>
        <c:minorTickMark val="none"/>
        <c:tickLblPos val="nextTo"/>
        <c:spPr>
          <a:ln w="9525">
            <a:noFill/>
          </a:ln>
        </c:spPr>
        <c:crossAx val="99843392"/>
        <c:crosses val="autoZero"/>
        <c:auto val="1"/>
        <c:lblAlgn val="ctr"/>
        <c:lblOffset val="100"/>
        <c:noMultiLvlLbl val="0"/>
      </c:catAx>
      <c:valAx>
        <c:axId val="99843392"/>
        <c:scaling>
          <c:orientation val="minMax"/>
        </c:scaling>
        <c:delete val="0"/>
        <c:axPos val="l"/>
        <c:majorGridlines/>
        <c:numFmt formatCode="0%" sourceLinked="0"/>
        <c:majorTickMark val="none"/>
        <c:minorTickMark val="none"/>
        <c:tickLblPos val="nextTo"/>
        <c:crossAx val="110118400"/>
        <c:crosses val="autoZero"/>
        <c:crossBetween val="between"/>
        <c:majorUnit val="0.2"/>
      </c:valAx>
    </c:plotArea>
    <c:legend>
      <c:legendPos val="t"/>
      <c:layout>
        <c:manualLayout>
          <c:xMode val="edge"/>
          <c:yMode val="edge"/>
          <c:x val="0.14895313375004368"/>
          <c:y val="2.0224973150189361E-2"/>
          <c:w val="0.85104683151447691"/>
          <c:h val="3.6574178919214884E-2"/>
        </c:manualLayout>
      </c:layout>
      <c:overlay val="0"/>
    </c:legend>
    <c:plotVisOnly val="1"/>
    <c:dispBlanksAs val="gap"/>
    <c:showDLblsOverMax val="0"/>
  </c:char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title>
      <c:tx>
        <c:rich>
          <a:bodyPr/>
          <a:lstStyle/>
          <a:p>
            <a:pPr>
              <a:defRPr/>
            </a:pPr>
            <a:r>
              <a:rPr lang="es-CO"/>
              <a:t>COMPARATIVO POR CICLO PHVA</a:t>
            </a:r>
          </a:p>
        </c:rich>
      </c:tx>
      <c:overlay val="0"/>
    </c:title>
    <c:autoTitleDeleted val="0"/>
    <c:plotArea>
      <c:layout>
        <c:manualLayout>
          <c:layoutTarget val="inner"/>
          <c:xMode val="edge"/>
          <c:yMode val="edge"/>
          <c:x val="4.6069676671562296E-2"/>
          <c:y val="0.22488710899665265"/>
          <c:w val="0.93781534939155298"/>
          <c:h val="0.68192027621786289"/>
        </c:manualLayout>
      </c:layout>
      <c:barChart>
        <c:barDir val="col"/>
        <c:grouping val="clustered"/>
        <c:varyColors val="0"/>
        <c:ser>
          <c:idx val="0"/>
          <c:order val="0"/>
          <c:tx>
            <c:strRef>
              <c:f>Info2!$B$16</c:f>
              <c:strCache>
                <c:ptCount val="1"/>
                <c:pt idx="0">
                  <c:v>Planear</c:v>
                </c:pt>
              </c:strCache>
            </c:strRef>
          </c:tx>
          <c:spPr>
            <a:solidFill>
              <a:srgbClr val="0097AE"/>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Info2!$I$15:$J$15</c:f>
              <c:strCache>
                <c:ptCount val="2"/>
                <c:pt idx="0">
                  <c:v>PRUEBAS CARGUE PA 01 del 15/4/2020</c:v>
                </c:pt>
                <c:pt idx="1">
                  <c:v>PRUEBAS 02 del 10/4/2020</c:v>
                </c:pt>
              </c:strCache>
            </c:strRef>
          </c:cat>
          <c:val>
            <c:numRef>
              <c:f>Info2!$I$16:$J$16</c:f>
              <c:numCache>
                <c:formatCode>0%</c:formatCode>
                <c:ptCount val="2"/>
                <c:pt idx="0">
                  <c:v>0</c:v>
                </c:pt>
                <c:pt idx="1">
                  <c:v>0</c:v>
                </c:pt>
              </c:numCache>
            </c:numRef>
          </c:val>
          <c:extLst>
            <c:ext xmlns:c16="http://schemas.microsoft.com/office/drawing/2014/chart" uri="{C3380CC4-5D6E-409C-BE32-E72D297353CC}">
              <c16:uniqueId val="{00000000-DB35-4C8F-B963-AD6D099109E0}"/>
            </c:ext>
          </c:extLst>
        </c:ser>
        <c:ser>
          <c:idx val="1"/>
          <c:order val="1"/>
          <c:tx>
            <c:strRef>
              <c:f>Info2!$B$17</c:f>
              <c:strCache>
                <c:ptCount val="1"/>
                <c:pt idx="0">
                  <c:v>Hacer</c:v>
                </c:pt>
              </c:strCache>
            </c:strRef>
          </c:tx>
          <c:spPr>
            <a:solidFill>
              <a:srgbClr val="F9B036"/>
            </a:solidFill>
            <a:ln>
              <a:solidFill>
                <a:srgbClr val="F9B036"/>
              </a:solidFill>
            </a:ln>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Info2!$I$15:$J$15</c:f>
              <c:strCache>
                <c:ptCount val="2"/>
                <c:pt idx="0">
                  <c:v>PRUEBAS CARGUE PA 01 del 15/4/2020</c:v>
                </c:pt>
                <c:pt idx="1">
                  <c:v>PRUEBAS 02 del 10/4/2020</c:v>
                </c:pt>
              </c:strCache>
            </c:strRef>
          </c:cat>
          <c:val>
            <c:numRef>
              <c:f>Info2!$I$17:$J$17</c:f>
              <c:numCache>
                <c:formatCode>0%</c:formatCode>
                <c:ptCount val="2"/>
                <c:pt idx="0">
                  <c:v>0</c:v>
                </c:pt>
                <c:pt idx="1">
                  <c:v>0</c:v>
                </c:pt>
              </c:numCache>
            </c:numRef>
          </c:val>
          <c:extLst>
            <c:ext xmlns:c16="http://schemas.microsoft.com/office/drawing/2014/chart" uri="{C3380CC4-5D6E-409C-BE32-E72D297353CC}">
              <c16:uniqueId val="{00000001-DB35-4C8F-B963-AD6D099109E0}"/>
            </c:ext>
          </c:extLst>
        </c:ser>
        <c:ser>
          <c:idx val="2"/>
          <c:order val="2"/>
          <c:tx>
            <c:strRef>
              <c:f>Info2!$B$18</c:f>
              <c:strCache>
                <c:ptCount val="1"/>
                <c:pt idx="0">
                  <c:v>Verificar</c:v>
                </c:pt>
              </c:strCache>
            </c:strRef>
          </c:tx>
          <c:spPr>
            <a:solidFill>
              <a:srgbClr val="FEC82F"/>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Info2!$I$15:$J$15</c:f>
              <c:strCache>
                <c:ptCount val="2"/>
                <c:pt idx="0">
                  <c:v>PRUEBAS CARGUE PA 01 del 15/4/2020</c:v>
                </c:pt>
                <c:pt idx="1">
                  <c:v>PRUEBAS 02 del 10/4/2020</c:v>
                </c:pt>
              </c:strCache>
            </c:strRef>
          </c:cat>
          <c:val>
            <c:numRef>
              <c:f>Info2!$I$18:$J$18</c:f>
              <c:numCache>
                <c:formatCode>0%</c:formatCode>
                <c:ptCount val="2"/>
                <c:pt idx="0">
                  <c:v>0</c:v>
                </c:pt>
                <c:pt idx="1">
                  <c:v>0</c:v>
                </c:pt>
              </c:numCache>
            </c:numRef>
          </c:val>
          <c:extLst>
            <c:ext xmlns:c16="http://schemas.microsoft.com/office/drawing/2014/chart" uri="{C3380CC4-5D6E-409C-BE32-E72D297353CC}">
              <c16:uniqueId val="{00000002-DB35-4C8F-B963-AD6D099109E0}"/>
            </c:ext>
          </c:extLst>
        </c:ser>
        <c:ser>
          <c:idx val="3"/>
          <c:order val="3"/>
          <c:tx>
            <c:strRef>
              <c:f>Info2!$B$19</c:f>
              <c:strCache>
                <c:ptCount val="1"/>
                <c:pt idx="0">
                  <c:v>Actuar</c:v>
                </c:pt>
              </c:strCache>
            </c:strRef>
          </c:tx>
          <c:spPr>
            <a:solidFill>
              <a:srgbClr val="FFF6A5"/>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Info2!$I$15:$J$15</c:f>
              <c:strCache>
                <c:ptCount val="2"/>
                <c:pt idx="0">
                  <c:v>PRUEBAS CARGUE PA 01 del 15/4/2020</c:v>
                </c:pt>
                <c:pt idx="1">
                  <c:v>PRUEBAS 02 del 10/4/2020</c:v>
                </c:pt>
              </c:strCache>
            </c:strRef>
          </c:cat>
          <c:val>
            <c:numRef>
              <c:f>Info2!$I$19:$J$19</c:f>
              <c:numCache>
                <c:formatCode>0%</c:formatCode>
                <c:ptCount val="2"/>
                <c:pt idx="0">
                  <c:v>0</c:v>
                </c:pt>
                <c:pt idx="1">
                  <c:v>0</c:v>
                </c:pt>
              </c:numCache>
            </c:numRef>
          </c:val>
          <c:extLst>
            <c:ext xmlns:c16="http://schemas.microsoft.com/office/drawing/2014/chart" uri="{C3380CC4-5D6E-409C-BE32-E72D297353CC}">
              <c16:uniqueId val="{00000003-DB35-4C8F-B963-AD6D099109E0}"/>
            </c:ext>
          </c:extLst>
        </c:ser>
        <c:dLbls>
          <c:showLegendKey val="0"/>
          <c:showVal val="1"/>
          <c:showCatName val="0"/>
          <c:showSerName val="0"/>
          <c:showPercent val="0"/>
          <c:showBubbleSize val="0"/>
        </c:dLbls>
        <c:gapWidth val="150"/>
        <c:overlap val="-25"/>
        <c:axId val="110060032"/>
        <c:axId val="100092736"/>
      </c:barChart>
      <c:catAx>
        <c:axId val="110060032"/>
        <c:scaling>
          <c:orientation val="minMax"/>
        </c:scaling>
        <c:delete val="0"/>
        <c:axPos val="b"/>
        <c:numFmt formatCode="General" sourceLinked="0"/>
        <c:majorTickMark val="none"/>
        <c:minorTickMark val="none"/>
        <c:tickLblPos val="nextTo"/>
        <c:txPr>
          <a:bodyPr rot="0" vert="horz"/>
          <a:lstStyle/>
          <a:p>
            <a:pPr>
              <a:defRPr/>
            </a:pPr>
            <a:endParaRPr lang="en-US"/>
          </a:p>
        </c:txPr>
        <c:crossAx val="100092736"/>
        <c:crosses val="autoZero"/>
        <c:auto val="1"/>
        <c:lblAlgn val="ctr"/>
        <c:lblOffset val="100"/>
        <c:noMultiLvlLbl val="0"/>
      </c:catAx>
      <c:valAx>
        <c:axId val="100092736"/>
        <c:scaling>
          <c:orientation val="minMax"/>
          <c:max val="1"/>
        </c:scaling>
        <c:delete val="1"/>
        <c:axPos val="l"/>
        <c:numFmt formatCode="0%" sourceLinked="1"/>
        <c:majorTickMark val="none"/>
        <c:minorTickMark val="none"/>
        <c:tickLblPos val="nextTo"/>
        <c:crossAx val="110060032"/>
        <c:crosses val="autoZero"/>
        <c:crossBetween val="between"/>
      </c:valAx>
    </c:plotArea>
    <c:legend>
      <c:legendPos val="t"/>
      <c:layout>
        <c:manualLayout>
          <c:xMode val="edge"/>
          <c:yMode val="edge"/>
          <c:x val="0.1925887922285931"/>
          <c:y val="7.8967595589748224E-2"/>
          <c:w val="0.60224379763331326"/>
          <c:h val="7.6917240029508741E-2"/>
        </c:manualLayout>
      </c:layout>
      <c:overlay val="0"/>
      <c:txPr>
        <a:bodyPr/>
        <a:lstStyle/>
        <a:p>
          <a:pPr>
            <a:defRPr sz="1600"/>
          </a:pPr>
          <a:endParaRPr lang="en-US"/>
        </a:p>
      </c:txPr>
    </c:legend>
    <c:plotVisOnly val="1"/>
    <c:dispBlanksAs val="gap"/>
    <c:showDLblsOverMax val="0"/>
  </c:char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1400"/>
            </a:pPr>
            <a:r>
              <a:rPr lang="es-CO" sz="1400"/>
              <a:t>COMPARATIVO  NÚMERO DE ITEMS </a:t>
            </a:r>
          </a:p>
          <a:p>
            <a:pPr algn="ctr">
              <a:defRPr sz="1400"/>
            </a:pPr>
            <a:r>
              <a:rPr lang="es-CO" sz="1400"/>
              <a:t>SEGÚN SU ESTADO DE CUMPLIMIENTO</a:t>
            </a:r>
            <a:r>
              <a:rPr lang="es-CO" sz="1400" baseline="0"/>
              <a:t> </a:t>
            </a:r>
            <a:endParaRPr lang="es-CO" sz="1400"/>
          </a:p>
        </c:rich>
      </c:tx>
      <c:overlay val="0"/>
    </c:title>
    <c:autoTitleDeleted val="0"/>
    <c:plotArea>
      <c:layout/>
      <c:barChart>
        <c:barDir val="col"/>
        <c:grouping val="percentStacked"/>
        <c:varyColors val="0"/>
        <c:ser>
          <c:idx val="0"/>
          <c:order val="0"/>
          <c:tx>
            <c:strRef>
              <c:f>Info2!$B$23</c:f>
              <c:strCache>
                <c:ptCount val="1"/>
                <c:pt idx="0">
                  <c:v>Cumple</c:v>
                </c:pt>
              </c:strCache>
            </c:strRef>
          </c:tx>
          <c:spPr>
            <a:solidFill>
              <a:srgbClr val="00A4B4"/>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Info2!$I$22:$J$22</c:f>
              <c:strCache>
                <c:ptCount val="2"/>
                <c:pt idx="0">
                  <c:v>PRUEBAS CARGUE PA 01 del 15/4/2020</c:v>
                </c:pt>
                <c:pt idx="1">
                  <c:v>PRUEBAS 02 del 10/4/2020</c:v>
                </c:pt>
              </c:strCache>
            </c:strRef>
          </c:cat>
          <c:val>
            <c:numRef>
              <c:f>Info2!$I$23:$J$23</c:f>
              <c:numCache>
                <c:formatCode>0%</c:formatCode>
                <c:ptCount val="2"/>
                <c:pt idx="0">
                  <c:v>0</c:v>
                </c:pt>
                <c:pt idx="1">
                  <c:v>0</c:v>
                </c:pt>
              </c:numCache>
            </c:numRef>
          </c:val>
          <c:extLst>
            <c:ext xmlns:c16="http://schemas.microsoft.com/office/drawing/2014/chart" uri="{C3380CC4-5D6E-409C-BE32-E72D297353CC}">
              <c16:uniqueId val="{00000000-7790-4EE0-92E6-6979B5E1BEE9}"/>
            </c:ext>
          </c:extLst>
        </c:ser>
        <c:ser>
          <c:idx val="1"/>
          <c:order val="1"/>
          <c:tx>
            <c:strRef>
              <c:f>Info2!$B$24</c:f>
              <c:strCache>
                <c:ptCount val="1"/>
                <c:pt idx="0">
                  <c:v>No cumple</c:v>
                </c:pt>
              </c:strCache>
            </c:strRef>
          </c:tx>
          <c:spPr>
            <a:solidFill>
              <a:srgbClr val="F9B03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Info2!$I$22:$J$22</c:f>
              <c:strCache>
                <c:ptCount val="2"/>
                <c:pt idx="0">
                  <c:v>PRUEBAS CARGUE PA 01 del 15/4/2020</c:v>
                </c:pt>
                <c:pt idx="1">
                  <c:v>PRUEBAS 02 del 10/4/2020</c:v>
                </c:pt>
              </c:strCache>
            </c:strRef>
          </c:cat>
          <c:val>
            <c:numRef>
              <c:f>Info2!$I$24:$J$24</c:f>
              <c:numCache>
                <c:formatCode>0%</c:formatCode>
                <c:ptCount val="2"/>
                <c:pt idx="0">
                  <c:v>0</c:v>
                </c:pt>
                <c:pt idx="1">
                  <c:v>0</c:v>
                </c:pt>
              </c:numCache>
            </c:numRef>
          </c:val>
          <c:extLst>
            <c:ext xmlns:c16="http://schemas.microsoft.com/office/drawing/2014/chart" uri="{C3380CC4-5D6E-409C-BE32-E72D297353CC}">
              <c16:uniqueId val="{00000001-7790-4EE0-92E6-6979B5E1BEE9}"/>
            </c:ext>
          </c:extLst>
        </c:ser>
        <c:ser>
          <c:idx val="2"/>
          <c:order val="2"/>
          <c:tx>
            <c:strRef>
              <c:f>Info2!$B$25</c:f>
              <c:strCache>
                <c:ptCount val="1"/>
                <c:pt idx="0">
                  <c:v>No aplica</c:v>
                </c:pt>
              </c:strCache>
            </c:strRef>
          </c:tx>
          <c:spPr>
            <a:solidFill>
              <a:srgbClr val="FFF6A5"/>
            </a:solidFill>
            <a:ln>
              <a:solidFill>
                <a:srgbClr val="FFF6A5"/>
              </a:solidFill>
            </a:ln>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Info2!$I$22:$J$22</c:f>
              <c:strCache>
                <c:ptCount val="2"/>
                <c:pt idx="0">
                  <c:v>PRUEBAS CARGUE PA 01 del 15/4/2020</c:v>
                </c:pt>
                <c:pt idx="1">
                  <c:v>PRUEBAS 02 del 10/4/2020</c:v>
                </c:pt>
              </c:strCache>
            </c:strRef>
          </c:cat>
          <c:val>
            <c:numRef>
              <c:f>Info2!$I$25:$J$25</c:f>
              <c:numCache>
                <c:formatCode>0%</c:formatCode>
                <c:ptCount val="2"/>
                <c:pt idx="0">
                  <c:v>0</c:v>
                </c:pt>
                <c:pt idx="1">
                  <c:v>0</c:v>
                </c:pt>
              </c:numCache>
            </c:numRef>
          </c:val>
          <c:extLst>
            <c:ext xmlns:c16="http://schemas.microsoft.com/office/drawing/2014/chart" uri="{C3380CC4-5D6E-409C-BE32-E72D297353CC}">
              <c16:uniqueId val="{00000002-7790-4EE0-92E6-6979B5E1BEE9}"/>
            </c:ext>
          </c:extLst>
        </c:ser>
        <c:dLbls>
          <c:showLegendKey val="0"/>
          <c:showVal val="1"/>
          <c:showCatName val="0"/>
          <c:showSerName val="0"/>
          <c:showPercent val="0"/>
          <c:showBubbleSize val="0"/>
        </c:dLbls>
        <c:gapWidth val="95"/>
        <c:overlap val="100"/>
        <c:axId val="110063104"/>
        <c:axId val="100095616"/>
      </c:barChart>
      <c:catAx>
        <c:axId val="110063104"/>
        <c:scaling>
          <c:orientation val="minMax"/>
        </c:scaling>
        <c:delete val="0"/>
        <c:axPos val="b"/>
        <c:numFmt formatCode="General" sourceLinked="0"/>
        <c:majorTickMark val="none"/>
        <c:minorTickMark val="none"/>
        <c:tickLblPos val="nextTo"/>
        <c:crossAx val="100095616"/>
        <c:crosses val="autoZero"/>
        <c:auto val="1"/>
        <c:lblAlgn val="ctr"/>
        <c:lblOffset val="100"/>
        <c:noMultiLvlLbl val="0"/>
      </c:catAx>
      <c:valAx>
        <c:axId val="100095616"/>
        <c:scaling>
          <c:orientation val="minMax"/>
        </c:scaling>
        <c:delete val="1"/>
        <c:axPos val="l"/>
        <c:numFmt formatCode="0%" sourceLinked="1"/>
        <c:majorTickMark val="out"/>
        <c:minorTickMark val="none"/>
        <c:tickLblPos val="nextTo"/>
        <c:crossAx val="110063104"/>
        <c:crosses val="autoZero"/>
        <c:crossBetween val="between"/>
      </c:valAx>
    </c:plotArea>
    <c:legend>
      <c:legendPos val="t"/>
      <c:overlay val="0"/>
      <c:txPr>
        <a:bodyPr/>
        <a:lstStyle/>
        <a:p>
          <a:pPr>
            <a:defRPr sz="2000"/>
          </a:pPr>
          <a:endParaRPr lang="en-US"/>
        </a:p>
      </c:txPr>
    </c:legend>
    <c:plotVisOnly val="1"/>
    <c:dispBlanksAs val="gap"/>
    <c:showDLblsOverMax val="0"/>
  </c:chart>
</c:chartSpace>
</file>

<file path=xl/chartsheets/_rels/sheet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chartsheets/_rels/sheet2.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drawing" Target="../drawings/drawing8.xml"/></Relationships>
</file>

<file path=xl/chartsheets/_rels/sheet3.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drawing" Target="../drawings/drawing9.xml"/></Relationships>
</file>

<file path=xl/chartsheets/sheet1.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sheetPr codeName="Gráfico1"/>
  <sheetViews>
    <sheetView zoomScale="103" workbookViewId="0" zoomToFit="1"/>
  </sheetViews>
  <sheetProtection password="CDD8" content="1" objects="1"/>
  <pageMargins left="0.7" right="0.7" top="0.75" bottom="0.75" header="0.3" footer="0.3"/>
  <pageSetup orientation="landscape" r:id="rId1"/>
  <drawing r:id="rId2"/>
  <legacyDrawing r:id="rId3"/>
</chartsheet>
</file>

<file path=xl/chartsheets/sheet2.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sheetPr codeName="Gráfico2"/>
  <sheetViews>
    <sheetView zoomScale="103" workbookViewId="0" zoomToFit="1"/>
  </sheetViews>
  <sheetProtection password="CC18" content="1" objects="1"/>
  <pageMargins left="0.7" right="0.7" top="0.75" bottom="0.75" header="0.3" footer="0.3"/>
  <drawing r:id="rId1"/>
  <legacyDrawing r:id="rId2"/>
</chartsheet>
</file>

<file path=xl/chartsheets/sheet3.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sheetPr codeName="Gráfico3"/>
  <sheetViews>
    <sheetView workbookViewId="0"/>
  </sheetViews>
  <pageMargins left="0.7" right="0.7" top="0.75" bottom="0.75" header="0.3" footer="0.3"/>
  <drawing r:id="rId1"/>
  <legacyDrawing r:id="rId2"/>
</chartsheet>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Fases!C14:J14"/><Relationship Id="rId2" Type="http://schemas.openxmlformats.org/officeDocument/2006/relationships/image" Target="../media/image2.png"/><Relationship Id="rId1" Type="http://schemas.openxmlformats.org/officeDocument/2006/relationships/image" Target="../media/image1.emf"/><Relationship Id="rId6" Type="http://schemas.openxmlformats.org/officeDocument/2006/relationships/image" Target="../media/image5.png"/><Relationship Id="rId5" Type="http://schemas.openxmlformats.org/officeDocument/2006/relationships/image" Target="../media/image4.png"/><Relationship Id="rId4" Type="http://schemas.openxmlformats.org/officeDocument/2006/relationships/image" Target="../media/image3.png"/></Relationships>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3.xml"/></Relationships>
</file>

<file path=xl/drawings/_rels/drawing8.xml.rels><?xml version="1.0" encoding="UTF-8" standalone="yes"?>
<Relationships xmlns="http://schemas.openxmlformats.org/package/2006/relationships"><Relationship Id="rId1" Type="http://schemas.openxmlformats.org/officeDocument/2006/relationships/chart" Target="../charts/chart4.xml"/></Relationships>
</file>

<file path=xl/drawings/_rels/drawing9.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1</xdr:col>
      <xdr:colOff>19557</xdr:colOff>
      <xdr:row>12</xdr:row>
      <xdr:rowOff>120315</xdr:rowOff>
    </xdr:from>
    <xdr:to>
      <xdr:col>1</xdr:col>
      <xdr:colOff>1459557</xdr:colOff>
      <xdr:row>16</xdr:row>
      <xdr:rowOff>78315</xdr:rowOff>
    </xdr:to>
    <xdr:sp macro="[0]!FiltrarItems" textlink="">
      <xdr:nvSpPr>
        <xdr:cNvPr id="4" name="CuadroTexto 7">
          <a:extLst>
            <a:ext uri="{FF2B5EF4-FFF2-40B4-BE49-F238E27FC236}">
              <a16:creationId xmlns:a16="http://schemas.microsoft.com/office/drawing/2014/main" id="{00000000-0008-0000-0000-000004000000}"/>
            </a:ext>
          </a:extLst>
        </xdr:cNvPr>
        <xdr:cNvSpPr txBox="1"/>
      </xdr:nvSpPr>
      <xdr:spPr>
        <a:xfrm>
          <a:off x="1072320" y="2426368"/>
          <a:ext cx="1440000" cy="720000"/>
        </a:xfrm>
        <a:prstGeom prst="rect">
          <a:avLst/>
        </a:prstGeom>
        <a:solidFill>
          <a:srgbClr val="0097AE"/>
        </a:solidFill>
        <a:ln w="19050">
          <a:solidFill>
            <a:srgbClr val="FEC82F"/>
          </a:solidFill>
        </a:ln>
      </xdr:spPr>
      <xdr:style>
        <a:lnRef idx="1">
          <a:schemeClr val="accent6"/>
        </a:lnRef>
        <a:fillRef idx="3">
          <a:schemeClr val="accent6"/>
        </a:fillRef>
        <a:effectRef idx="2">
          <a:schemeClr val="accent6"/>
        </a:effectRef>
        <a:fontRef idx="minor">
          <a:schemeClr val="lt1"/>
        </a:fontRef>
      </xdr:style>
      <xdr:txBody>
        <a:bodyPr vertOverflow="clip" horzOverflow="clip" wrap="square" rtlCol="0" anchor="ctr"/>
        <a:lstStyle/>
        <a:p>
          <a:pPr marL="0" indent="0" algn="ctr"/>
          <a:r>
            <a:rPr lang="es-CO" sz="1100">
              <a:solidFill>
                <a:schemeClr val="bg1"/>
              </a:solidFill>
              <a:latin typeface="Gill Sans MT" pitchFamily="34" charset="0"/>
              <a:ea typeface="+mn-ea"/>
              <a:cs typeface="+mn-cs"/>
            </a:rPr>
            <a:t>1. Autoevaluación Estandáres Mínimos</a:t>
          </a:r>
        </a:p>
      </xdr:txBody>
    </xdr:sp>
    <xdr:clientData/>
  </xdr:twoCellAnchor>
  <xdr:twoCellAnchor>
    <xdr:from>
      <xdr:col>3</xdr:col>
      <xdr:colOff>1704228</xdr:colOff>
      <xdr:row>12</xdr:row>
      <xdr:rowOff>120315</xdr:rowOff>
    </xdr:from>
    <xdr:to>
      <xdr:col>5</xdr:col>
      <xdr:colOff>46096</xdr:colOff>
      <xdr:row>16</xdr:row>
      <xdr:rowOff>78315</xdr:rowOff>
    </xdr:to>
    <xdr:sp macro="[0]!Grafico1" textlink="">
      <xdr:nvSpPr>
        <xdr:cNvPr id="6" name="CuadroTexto 7">
          <a:extLst>
            <a:ext uri="{FF2B5EF4-FFF2-40B4-BE49-F238E27FC236}">
              <a16:creationId xmlns:a16="http://schemas.microsoft.com/office/drawing/2014/main" id="{00000000-0008-0000-0000-000006000000}"/>
            </a:ext>
          </a:extLst>
        </xdr:cNvPr>
        <xdr:cNvSpPr txBox="1"/>
      </xdr:nvSpPr>
      <xdr:spPr>
        <a:xfrm>
          <a:off x="5614491" y="2426368"/>
          <a:ext cx="1440000" cy="720000"/>
        </a:xfrm>
        <a:prstGeom prst="rect">
          <a:avLst/>
        </a:prstGeom>
        <a:solidFill>
          <a:srgbClr val="0097AE"/>
        </a:solidFill>
        <a:ln w="19050">
          <a:solidFill>
            <a:srgbClr val="FEC82F"/>
          </a:solidFill>
        </a:ln>
      </xdr:spPr>
      <xdr:style>
        <a:lnRef idx="1">
          <a:schemeClr val="accent6"/>
        </a:lnRef>
        <a:fillRef idx="3">
          <a:schemeClr val="accent6"/>
        </a:fillRef>
        <a:effectRef idx="2">
          <a:schemeClr val="accent6"/>
        </a:effectRef>
        <a:fontRef idx="minor">
          <a:schemeClr val="lt1"/>
        </a:fontRef>
      </xdr:style>
      <xdr:txBody>
        <a:bodyPr vertOverflow="clip" horzOverflow="clip" wrap="square" rtlCol="0" anchor="ctr"/>
        <a:lstStyle/>
        <a:p>
          <a:pPr marL="0" indent="0" algn="ctr"/>
          <a:r>
            <a:rPr lang="es-CO" sz="1100">
              <a:solidFill>
                <a:schemeClr val="bg1"/>
              </a:solidFill>
              <a:latin typeface="Gill Sans MT" pitchFamily="34" charset="0"/>
              <a:ea typeface="+mn-ea"/>
              <a:cs typeface="+mn-cs"/>
            </a:rPr>
            <a:t>4. Informe gráfico por evaluación </a:t>
          </a:r>
        </a:p>
      </xdr:txBody>
    </xdr:sp>
    <xdr:clientData/>
  </xdr:twoCellAnchor>
  <xdr:twoCellAnchor>
    <xdr:from>
      <xdr:col>5</xdr:col>
      <xdr:colOff>120153</xdr:colOff>
      <xdr:row>12</xdr:row>
      <xdr:rowOff>120315</xdr:rowOff>
    </xdr:from>
    <xdr:to>
      <xdr:col>6</xdr:col>
      <xdr:colOff>186548</xdr:colOff>
      <xdr:row>16</xdr:row>
      <xdr:rowOff>78315</xdr:rowOff>
    </xdr:to>
    <xdr:sp macro="[0]!Grafico2" textlink="">
      <xdr:nvSpPr>
        <xdr:cNvPr id="7" name="CuadroTexto 7">
          <a:extLst>
            <a:ext uri="{FF2B5EF4-FFF2-40B4-BE49-F238E27FC236}">
              <a16:creationId xmlns:a16="http://schemas.microsoft.com/office/drawing/2014/main" id="{00000000-0008-0000-0000-000007000000}"/>
            </a:ext>
          </a:extLst>
        </xdr:cNvPr>
        <xdr:cNvSpPr txBox="1"/>
      </xdr:nvSpPr>
      <xdr:spPr>
        <a:xfrm>
          <a:off x="7128548" y="2426368"/>
          <a:ext cx="1440000" cy="720000"/>
        </a:xfrm>
        <a:prstGeom prst="rect">
          <a:avLst/>
        </a:prstGeom>
        <a:solidFill>
          <a:srgbClr val="0097AE"/>
        </a:solidFill>
        <a:ln w="19050">
          <a:solidFill>
            <a:srgbClr val="FEC82F"/>
          </a:solidFill>
        </a:ln>
      </xdr:spPr>
      <xdr:style>
        <a:lnRef idx="1">
          <a:schemeClr val="accent6"/>
        </a:lnRef>
        <a:fillRef idx="3">
          <a:schemeClr val="accent6"/>
        </a:fillRef>
        <a:effectRef idx="2">
          <a:schemeClr val="accent6"/>
        </a:effectRef>
        <a:fontRef idx="minor">
          <a:schemeClr val="lt1"/>
        </a:fontRef>
      </xdr:style>
      <xdr:txBody>
        <a:bodyPr vertOverflow="clip" horzOverflow="clip" wrap="square" rtlCol="0" anchor="ctr"/>
        <a:lstStyle/>
        <a:p>
          <a:pPr marL="0" indent="0" algn="ctr"/>
          <a:r>
            <a:rPr lang="es-CO" sz="1100">
              <a:solidFill>
                <a:schemeClr val="bg1"/>
              </a:solidFill>
              <a:latin typeface="Gill Sans MT" pitchFamily="34" charset="0"/>
              <a:ea typeface="+mn-ea"/>
              <a:cs typeface="+mn-cs"/>
            </a:rPr>
            <a:t>5. Informes</a:t>
          </a:r>
          <a:r>
            <a:rPr lang="es-CO" sz="1100" baseline="0">
              <a:solidFill>
                <a:schemeClr val="bg1"/>
              </a:solidFill>
              <a:latin typeface="Gill Sans MT" pitchFamily="34" charset="0"/>
              <a:ea typeface="+mn-ea"/>
              <a:cs typeface="+mn-cs"/>
            </a:rPr>
            <a:t> </a:t>
          </a:r>
          <a:r>
            <a:rPr lang="es-CO" sz="1100">
              <a:solidFill>
                <a:schemeClr val="bg1"/>
              </a:solidFill>
              <a:latin typeface="Gill Sans MT" pitchFamily="34" charset="0"/>
              <a:ea typeface="+mn-ea"/>
              <a:cs typeface="+mn-cs"/>
            </a:rPr>
            <a:t>comparativos</a:t>
          </a:r>
        </a:p>
      </xdr:txBody>
    </xdr:sp>
    <xdr:clientData/>
  </xdr:twoCellAnchor>
  <xdr:twoCellAnchor>
    <xdr:from>
      <xdr:col>6</xdr:col>
      <xdr:colOff>260605</xdr:colOff>
      <xdr:row>12</xdr:row>
      <xdr:rowOff>120315</xdr:rowOff>
    </xdr:from>
    <xdr:to>
      <xdr:col>8</xdr:col>
      <xdr:colOff>76342</xdr:colOff>
      <xdr:row>16</xdr:row>
      <xdr:rowOff>78315</xdr:rowOff>
    </xdr:to>
    <xdr:sp macro="[0]!GeneraImportador" textlink="">
      <xdr:nvSpPr>
        <xdr:cNvPr id="8" name="CuadroTexto 7">
          <a:extLst>
            <a:ext uri="{FF2B5EF4-FFF2-40B4-BE49-F238E27FC236}">
              <a16:creationId xmlns:a16="http://schemas.microsoft.com/office/drawing/2014/main" id="{00000000-0008-0000-0000-000008000000}"/>
            </a:ext>
          </a:extLst>
        </xdr:cNvPr>
        <xdr:cNvSpPr txBox="1"/>
      </xdr:nvSpPr>
      <xdr:spPr>
        <a:xfrm>
          <a:off x="8642605" y="2426368"/>
          <a:ext cx="1440000" cy="720000"/>
        </a:xfrm>
        <a:prstGeom prst="rect">
          <a:avLst/>
        </a:prstGeom>
        <a:solidFill>
          <a:srgbClr val="002060"/>
        </a:solidFill>
        <a:ln w="19050">
          <a:solidFill>
            <a:srgbClr val="FEC82F"/>
          </a:solidFill>
        </a:ln>
      </xdr:spPr>
      <xdr:style>
        <a:lnRef idx="1">
          <a:schemeClr val="accent6"/>
        </a:lnRef>
        <a:fillRef idx="3">
          <a:schemeClr val="accent6"/>
        </a:fillRef>
        <a:effectRef idx="2">
          <a:schemeClr val="accent6"/>
        </a:effectRef>
        <a:fontRef idx="minor">
          <a:schemeClr val="lt1"/>
        </a:fontRef>
      </xdr:style>
      <xdr:txBody>
        <a:bodyPr vertOverflow="clip" horzOverflow="clip" wrap="square" rtlCol="0" anchor="ctr"/>
        <a:lstStyle/>
        <a:p>
          <a:pPr marL="0" indent="0" algn="ctr"/>
          <a:r>
            <a:rPr lang="es-CO" sz="1100">
              <a:solidFill>
                <a:schemeClr val="bg1"/>
              </a:solidFill>
              <a:latin typeface="Gill Sans MT" pitchFamily="34" charset="0"/>
              <a:ea typeface="+mn-ea"/>
              <a:cs typeface="+mn-cs"/>
            </a:rPr>
            <a:t>6.  Exportar</a:t>
          </a:r>
          <a:r>
            <a:rPr lang="es-CO" sz="1100" baseline="0">
              <a:solidFill>
                <a:schemeClr val="bg1"/>
              </a:solidFill>
              <a:latin typeface="Gill Sans MT" pitchFamily="34" charset="0"/>
              <a:ea typeface="+mn-ea"/>
              <a:cs typeface="+mn-cs"/>
            </a:rPr>
            <a:t> para Colmena Gestión</a:t>
          </a:r>
          <a:endParaRPr lang="es-CO" sz="1100">
            <a:solidFill>
              <a:schemeClr val="bg1"/>
            </a:solidFill>
            <a:latin typeface="Gill Sans MT" pitchFamily="34" charset="0"/>
            <a:ea typeface="+mn-ea"/>
            <a:cs typeface="+mn-cs"/>
          </a:endParaRPr>
        </a:p>
      </xdr:txBody>
    </xdr:sp>
    <xdr:clientData/>
  </xdr:twoCellAnchor>
  <xdr:twoCellAnchor>
    <xdr:from>
      <xdr:col>3</xdr:col>
      <xdr:colOff>190171</xdr:colOff>
      <xdr:row>12</xdr:row>
      <xdr:rowOff>120315</xdr:rowOff>
    </xdr:from>
    <xdr:to>
      <xdr:col>3</xdr:col>
      <xdr:colOff>1630171</xdr:colOff>
      <xdr:row>16</xdr:row>
      <xdr:rowOff>78315</xdr:rowOff>
    </xdr:to>
    <xdr:sp macro="[0]!GeneraPlaMejora" textlink="">
      <xdr:nvSpPr>
        <xdr:cNvPr id="10" name="CuadroTexto 7">
          <a:extLst>
            <a:ext uri="{FF2B5EF4-FFF2-40B4-BE49-F238E27FC236}">
              <a16:creationId xmlns:a16="http://schemas.microsoft.com/office/drawing/2014/main" id="{00000000-0008-0000-0000-00000A000000}"/>
            </a:ext>
          </a:extLst>
        </xdr:cNvPr>
        <xdr:cNvSpPr txBox="1"/>
      </xdr:nvSpPr>
      <xdr:spPr>
        <a:xfrm>
          <a:off x="4100434" y="2426368"/>
          <a:ext cx="1440000" cy="720000"/>
        </a:xfrm>
        <a:prstGeom prst="rect">
          <a:avLst/>
        </a:prstGeom>
        <a:solidFill>
          <a:srgbClr val="0097AE"/>
        </a:solidFill>
        <a:ln w="19050">
          <a:solidFill>
            <a:srgbClr val="FEC82F"/>
          </a:solidFill>
        </a:ln>
      </xdr:spPr>
      <xdr:style>
        <a:lnRef idx="1">
          <a:schemeClr val="accent6"/>
        </a:lnRef>
        <a:fillRef idx="3">
          <a:schemeClr val="accent6"/>
        </a:fillRef>
        <a:effectRef idx="2">
          <a:schemeClr val="accent6"/>
        </a:effectRef>
        <a:fontRef idx="minor">
          <a:schemeClr val="lt1"/>
        </a:fontRef>
      </xdr:style>
      <xdr:txBody>
        <a:bodyPr vertOverflow="clip" horzOverflow="clip" wrap="square" rtlCol="0" anchor="ctr"/>
        <a:lstStyle/>
        <a:p>
          <a:pPr marL="0" indent="0" algn="ctr"/>
          <a:r>
            <a:rPr lang="es-CO" sz="1100">
              <a:solidFill>
                <a:schemeClr val="bg1"/>
              </a:solidFill>
              <a:latin typeface="Gill Sans MT" pitchFamily="34" charset="0"/>
              <a:ea typeface="+mn-ea"/>
              <a:cs typeface="+mn-cs"/>
            </a:rPr>
            <a:t>3. Generar</a:t>
          </a:r>
          <a:r>
            <a:rPr lang="es-CO" sz="1100" baseline="0">
              <a:solidFill>
                <a:schemeClr val="bg1"/>
              </a:solidFill>
              <a:latin typeface="Gill Sans MT" pitchFamily="34" charset="0"/>
              <a:ea typeface="+mn-ea"/>
              <a:cs typeface="+mn-cs"/>
            </a:rPr>
            <a:t> o revisar p</a:t>
          </a:r>
          <a:r>
            <a:rPr lang="es-CO" sz="1100">
              <a:solidFill>
                <a:schemeClr val="bg1"/>
              </a:solidFill>
              <a:latin typeface="Gill Sans MT" pitchFamily="34" charset="0"/>
              <a:ea typeface="+mn-ea"/>
              <a:cs typeface="+mn-cs"/>
            </a:rPr>
            <a:t>lan de mejoramiento</a:t>
          </a:r>
        </a:p>
      </xdr:txBody>
    </xdr:sp>
    <xdr:clientData/>
  </xdr:twoCellAnchor>
  <xdr:twoCellAnchor>
    <xdr:from>
      <xdr:col>1</xdr:col>
      <xdr:colOff>1533614</xdr:colOff>
      <xdr:row>12</xdr:row>
      <xdr:rowOff>120315</xdr:rowOff>
    </xdr:from>
    <xdr:to>
      <xdr:col>3</xdr:col>
      <xdr:colOff>116114</xdr:colOff>
      <xdr:row>16</xdr:row>
      <xdr:rowOff>78315</xdr:rowOff>
    </xdr:to>
    <xdr:sp macro="[0]!RevisarEvaluacion" textlink="">
      <xdr:nvSpPr>
        <xdr:cNvPr id="11" name="CuadroTexto 7">
          <a:extLst>
            <a:ext uri="{FF2B5EF4-FFF2-40B4-BE49-F238E27FC236}">
              <a16:creationId xmlns:a16="http://schemas.microsoft.com/office/drawing/2014/main" id="{00000000-0008-0000-0000-00000B000000}"/>
            </a:ext>
          </a:extLst>
        </xdr:cNvPr>
        <xdr:cNvSpPr txBox="1"/>
      </xdr:nvSpPr>
      <xdr:spPr>
        <a:xfrm>
          <a:off x="2586377" y="2426368"/>
          <a:ext cx="1440000" cy="720000"/>
        </a:xfrm>
        <a:prstGeom prst="rect">
          <a:avLst/>
        </a:prstGeom>
        <a:solidFill>
          <a:srgbClr val="0097AE"/>
        </a:solidFill>
        <a:ln w="19050">
          <a:solidFill>
            <a:srgbClr val="FEC82F"/>
          </a:solidFill>
        </a:ln>
      </xdr:spPr>
      <xdr:style>
        <a:lnRef idx="1">
          <a:schemeClr val="accent6"/>
        </a:lnRef>
        <a:fillRef idx="3">
          <a:schemeClr val="accent6"/>
        </a:fillRef>
        <a:effectRef idx="2">
          <a:schemeClr val="accent6"/>
        </a:effectRef>
        <a:fontRef idx="minor">
          <a:schemeClr val="lt1"/>
        </a:fontRef>
      </xdr:style>
      <xdr:txBody>
        <a:bodyPr vertOverflow="clip" horzOverflow="clip" wrap="square" rtlCol="0" anchor="ctr"/>
        <a:lstStyle/>
        <a:p>
          <a:pPr algn="ctr"/>
          <a:r>
            <a:rPr lang="es-CO" sz="1100">
              <a:solidFill>
                <a:schemeClr val="bg1"/>
              </a:solidFill>
              <a:latin typeface="Gill Sans MT" pitchFamily="34" charset="0"/>
            </a:rPr>
            <a:t>2. Visualizar auto</a:t>
          </a:r>
          <a:r>
            <a:rPr lang="es-CO" sz="1100" baseline="0">
              <a:solidFill>
                <a:schemeClr val="bg1"/>
              </a:solidFill>
              <a:latin typeface="Gill Sans MT" pitchFamily="34" charset="0"/>
            </a:rPr>
            <a:t>evaluación  realizada</a:t>
          </a:r>
          <a:endParaRPr lang="es-CO" sz="1100">
            <a:solidFill>
              <a:schemeClr val="bg1"/>
            </a:solidFill>
            <a:latin typeface="Gill Sans MT" pitchFamily="34" charset="0"/>
          </a:endParaRPr>
        </a:p>
      </xdr:txBody>
    </xdr:sp>
    <xdr:clientData/>
  </xdr:twoCellAnchor>
  <xdr:twoCellAnchor editAs="oneCell">
    <xdr:from>
      <xdr:col>1</xdr:col>
      <xdr:colOff>222070</xdr:colOff>
      <xdr:row>1</xdr:row>
      <xdr:rowOff>33538</xdr:rowOff>
    </xdr:from>
    <xdr:to>
      <xdr:col>1</xdr:col>
      <xdr:colOff>1236158</xdr:colOff>
      <xdr:row>4</xdr:row>
      <xdr:rowOff>178928</xdr:rowOff>
    </xdr:to>
    <xdr:pic>
      <xdr:nvPicPr>
        <xdr:cNvPr id="12" name="11 Imagen">
          <a:extLst>
            <a:ext uri="{FF2B5EF4-FFF2-40B4-BE49-F238E27FC236}">
              <a16:creationId xmlns:a16="http://schemas.microsoft.com/office/drawing/2014/main" id="{00000000-0008-0000-0000-00000C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83427" y="496181"/>
          <a:ext cx="1014088" cy="9073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188670</xdr:colOff>
      <xdr:row>12</xdr:row>
      <xdr:rowOff>129211</xdr:rowOff>
    </xdr:from>
    <xdr:to>
      <xdr:col>9</xdr:col>
      <xdr:colOff>670637</xdr:colOff>
      <xdr:row>16</xdr:row>
      <xdr:rowOff>68036</xdr:rowOff>
    </xdr:to>
    <xdr:sp macro="[0]!Cerrar" textlink="">
      <xdr:nvSpPr>
        <xdr:cNvPr id="13" name="CuadroTexto 7">
          <a:extLst>
            <a:ext uri="{FF2B5EF4-FFF2-40B4-BE49-F238E27FC236}">
              <a16:creationId xmlns:a16="http://schemas.microsoft.com/office/drawing/2014/main" id="{00000000-0008-0000-0000-00000D000000}"/>
            </a:ext>
          </a:extLst>
        </xdr:cNvPr>
        <xdr:cNvSpPr txBox="1"/>
      </xdr:nvSpPr>
      <xdr:spPr>
        <a:xfrm>
          <a:off x="10180201" y="2792323"/>
          <a:ext cx="1308115" cy="716376"/>
        </a:xfrm>
        <a:prstGeom prst="rect">
          <a:avLst/>
        </a:prstGeom>
        <a:solidFill>
          <a:srgbClr val="FEC82F"/>
        </a:solidFill>
        <a:ln w="19050">
          <a:solidFill>
            <a:srgbClr val="0097AE"/>
          </a:solidFill>
        </a:ln>
      </xdr:spPr>
      <xdr:style>
        <a:lnRef idx="1">
          <a:schemeClr val="accent6"/>
        </a:lnRef>
        <a:fillRef idx="3">
          <a:schemeClr val="accent6"/>
        </a:fillRef>
        <a:effectRef idx="2">
          <a:schemeClr val="accent6"/>
        </a:effectRef>
        <a:fontRef idx="minor">
          <a:schemeClr val="lt1"/>
        </a:fontRef>
      </xdr:style>
      <xdr:txBody>
        <a:bodyPr vertOverflow="clip" horzOverflow="clip" wrap="square" rtlCol="0" anchor="ctr"/>
        <a:lstStyle/>
        <a:p>
          <a:pPr marL="0" indent="0" algn="ctr"/>
          <a:r>
            <a:rPr lang="es-CO" sz="1100">
              <a:solidFill>
                <a:sysClr val="windowText" lastClr="000000"/>
              </a:solidFill>
              <a:latin typeface="Gill Sans MT" pitchFamily="34" charset="0"/>
              <a:ea typeface="+mn-ea"/>
              <a:cs typeface="+mn-cs"/>
            </a:rPr>
            <a:t>7. CERRAR</a:t>
          </a:r>
        </a:p>
      </xdr:txBody>
    </xdr:sp>
    <xdr:clientData/>
  </xdr:twoCellAnchor>
  <xdr:twoCellAnchor>
    <xdr:from>
      <xdr:col>8</xdr:col>
      <xdr:colOff>475514</xdr:colOff>
      <xdr:row>9</xdr:row>
      <xdr:rowOff>123005</xdr:rowOff>
    </xdr:from>
    <xdr:to>
      <xdr:col>9</xdr:col>
      <xdr:colOff>612321</xdr:colOff>
      <xdr:row>11</xdr:row>
      <xdr:rowOff>116633</xdr:rowOff>
    </xdr:to>
    <xdr:sp macro="[0]!BorrarContenidos" textlink="">
      <xdr:nvSpPr>
        <xdr:cNvPr id="14" name="CuadroTexto 7">
          <a:extLst>
            <a:ext uri="{FF2B5EF4-FFF2-40B4-BE49-F238E27FC236}">
              <a16:creationId xmlns:a16="http://schemas.microsoft.com/office/drawing/2014/main" id="{00000000-0008-0000-0000-00000E000000}"/>
            </a:ext>
          </a:extLst>
        </xdr:cNvPr>
        <xdr:cNvSpPr txBox="1"/>
      </xdr:nvSpPr>
      <xdr:spPr>
        <a:xfrm>
          <a:off x="10467045" y="2086321"/>
          <a:ext cx="962955" cy="460159"/>
        </a:xfrm>
        <a:prstGeom prst="rect">
          <a:avLst/>
        </a:prstGeom>
        <a:solidFill>
          <a:srgbClr val="FFF6A5"/>
        </a:solidFill>
        <a:ln w="19050">
          <a:solidFill>
            <a:srgbClr val="0097AE"/>
          </a:solidFill>
        </a:ln>
      </xdr:spPr>
      <xdr:style>
        <a:lnRef idx="1">
          <a:schemeClr val="accent6"/>
        </a:lnRef>
        <a:fillRef idx="3">
          <a:schemeClr val="accent6"/>
        </a:fillRef>
        <a:effectRef idx="2">
          <a:schemeClr val="accent6"/>
        </a:effectRef>
        <a:fontRef idx="minor">
          <a:schemeClr val="lt1"/>
        </a:fontRef>
      </xdr:style>
      <xdr:txBody>
        <a:bodyPr vertOverflow="clip" horzOverflow="clip" wrap="square" rtlCol="0" anchor="ctr"/>
        <a:lstStyle/>
        <a:p>
          <a:pPr marL="0" indent="0" algn="ctr"/>
          <a:r>
            <a:rPr lang="es-CO" sz="1100">
              <a:solidFill>
                <a:sysClr val="windowText" lastClr="000000"/>
              </a:solidFill>
              <a:latin typeface="Gill Sans MT" pitchFamily="34" charset="0"/>
              <a:ea typeface="+mn-ea"/>
              <a:cs typeface="+mn-cs"/>
            </a:rPr>
            <a:t>Borrar contenido</a:t>
          </a:r>
        </a:p>
      </xdr:txBody>
    </xdr:sp>
    <xdr:clientData/>
  </xdr:twoCellAnchor>
  <xdr:twoCellAnchor editAs="oneCell">
    <xdr:from>
      <xdr:col>0</xdr:col>
      <xdr:colOff>0</xdr:colOff>
      <xdr:row>7</xdr:row>
      <xdr:rowOff>116967</xdr:rowOff>
    </xdr:from>
    <xdr:to>
      <xdr:col>0</xdr:col>
      <xdr:colOff>638095</xdr:colOff>
      <xdr:row>30</xdr:row>
      <xdr:rowOff>17625</xdr:rowOff>
    </xdr:to>
    <xdr:pic>
      <xdr:nvPicPr>
        <xdr:cNvPr id="3" name="2 Imagen">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0" y="1719408"/>
          <a:ext cx="638095" cy="4811236"/>
        </a:xfrm>
        <a:prstGeom prst="rect">
          <a:avLst/>
        </a:prstGeom>
      </xdr:spPr>
    </xdr:pic>
    <xdr:clientData/>
  </xdr:twoCellAnchor>
  <xdr:oneCellAnchor>
    <xdr:from>
      <xdr:col>7</xdr:col>
      <xdr:colOff>843213</xdr:colOff>
      <xdr:row>1</xdr:row>
      <xdr:rowOff>269624</xdr:rowOff>
    </xdr:from>
    <xdr:ext cx="1624313" cy="655885"/>
    <xdr:sp macro="" textlink="">
      <xdr:nvSpPr>
        <xdr:cNvPr id="2" name="1 Rectángulo">
          <a:extLst>
            <a:ext uri="{FF2B5EF4-FFF2-40B4-BE49-F238E27FC236}">
              <a16:creationId xmlns:a16="http://schemas.microsoft.com/office/drawing/2014/main" id="{00000000-0008-0000-0000-000002000000}"/>
            </a:ext>
          </a:extLst>
        </xdr:cNvPr>
        <xdr:cNvSpPr/>
      </xdr:nvSpPr>
      <xdr:spPr>
        <a:xfrm>
          <a:off x="9957134" y="490203"/>
          <a:ext cx="1624313" cy="655885"/>
        </a:xfrm>
        <a:prstGeom prst="rect">
          <a:avLst/>
        </a:prstGeom>
        <a:noFill/>
      </xdr:spPr>
      <xdr:txBody>
        <a:bodyPr wrap="square" lIns="91440" tIns="45720" rIns="91440" bIns="45720">
          <a:spAutoFit/>
          <a:scene3d>
            <a:camera prst="orthographicFront">
              <a:rot lat="0" lon="0" rev="0"/>
            </a:camera>
            <a:lightRig rig="contrasting" dir="t">
              <a:rot lat="0" lon="0" rev="4500000"/>
            </a:lightRig>
          </a:scene3d>
          <a:sp3d contourW="6350" prstMaterial="metal">
            <a:bevelT w="127000" h="31750" prst="relaxedInset"/>
            <a:contourClr>
              <a:schemeClr val="accent1">
                <a:shade val="75000"/>
              </a:schemeClr>
            </a:contourClr>
          </a:sp3d>
        </a:bodyPr>
        <a:lstStyle/>
        <a:p>
          <a:pPr algn="ctr"/>
          <a:r>
            <a:rPr lang="es-ES" sz="3600" b="1" cap="all" spc="0">
              <a:ln w="0"/>
              <a:gradFill flip="none">
                <a:gsLst>
                  <a:gs pos="0">
                    <a:schemeClr val="accent1">
                      <a:tint val="75000"/>
                      <a:shade val="75000"/>
                      <a:satMod val="170000"/>
                    </a:schemeClr>
                  </a:gs>
                  <a:gs pos="49000">
                    <a:schemeClr val="accent1">
                      <a:tint val="88000"/>
                      <a:shade val="65000"/>
                      <a:satMod val="172000"/>
                    </a:schemeClr>
                  </a:gs>
                  <a:gs pos="50000">
                    <a:schemeClr val="accent1">
                      <a:shade val="65000"/>
                      <a:satMod val="130000"/>
                    </a:schemeClr>
                  </a:gs>
                  <a:gs pos="92000">
                    <a:schemeClr val="accent1">
                      <a:shade val="50000"/>
                      <a:satMod val="120000"/>
                    </a:schemeClr>
                  </a:gs>
                  <a:gs pos="100000">
                    <a:schemeClr val="accent1">
                      <a:shade val="48000"/>
                      <a:satMod val="120000"/>
                    </a:schemeClr>
                  </a:gs>
                </a:gsLst>
                <a:lin ang="5400000"/>
              </a:gradFill>
              <a:effectLst>
                <a:reflection blurRad="12700" stA="50000" endPos="50000" dist="5000" dir="5400000" sy="-100000" rotWithShape="0"/>
              </a:effectLst>
            </a:rPr>
            <a:t>sg-sst</a:t>
          </a:r>
        </a:p>
      </xdr:txBody>
    </xdr:sp>
    <xdr:clientData/>
  </xdr:oneCellAnchor>
  <xdr:twoCellAnchor>
    <xdr:from>
      <xdr:col>0</xdr:col>
      <xdr:colOff>184951</xdr:colOff>
      <xdr:row>1</xdr:row>
      <xdr:rowOff>64732</xdr:rowOff>
    </xdr:from>
    <xdr:to>
      <xdr:col>0</xdr:col>
      <xdr:colOff>976951</xdr:colOff>
      <xdr:row>2</xdr:row>
      <xdr:rowOff>224589</xdr:rowOff>
    </xdr:to>
    <xdr:sp macro="" textlink="">
      <xdr:nvSpPr>
        <xdr:cNvPr id="15" name="CuadroTexto 7">
          <a:hlinkClick xmlns:r="http://schemas.openxmlformats.org/officeDocument/2006/relationships" r:id="rId3" tooltip="Fases para la implementación del SG-SST con Estándares Mínimos"/>
          <a:extLst>
            <a:ext uri="{FF2B5EF4-FFF2-40B4-BE49-F238E27FC236}">
              <a16:creationId xmlns:a16="http://schemas.microsoft.com/office/drawing/2014/main" id="{00000000-0008-0000-0000-00000F000000}"/>
            </a:ext>
          </a:extLst>
        </xdr:cNvPr>
        <xdr:cNvSpPr txBox="1"/>
      </xdr:nvSpPr>
      <xdr:spPr>
        <a:xfrm>
          <a:off x="184951" y="527375"/>
          <a:ext cx="792000" cy="432000"/>
        </a:xfrm>
        <a:prstGeom prst="rect">
          <a:avLst/>
        </a:prstGeom>
        <a:solidFill>
          <a:srgbClr val="FFF6A5"/>
        </a:solidFill>
        <a:ln w="19050">
          <a:solidFill>
            <a:srgbClr val="0097AE"/>
          </a:solidFill>
        </a:ln>
      </xdr:spPr>
      <xdr:style>
        <a:lnRef idx="1">
          <a:schemeClr val="accent6"/>
        </a:lnRef>
        <a:fillRef idx="3">
          <a:schemeClr val="accent6"/>
        </a:fillRef>
        <a:effectRef idx="2">
          <a:schemeClr val="accent6"/>
        </a:effectRef>
        <a:fontRef idx="minor">
          <a:schemeClr val="lt1"/>
        </a:fontRef>
      </xdr:style>
      <xdr:txBody>
        <a:bodyPr vertOverflow="clip" horzOverflow="clip" wrap="square" rtlCol="0" anchor="ctr"/>
        <a:lstStyle/>
        <a:p>
          <a:pPr marL="0" indent="0" algn="ctr"/>
          <a:r>
            <a:rPr lang="es-CO" sz="1050">
              <a:solidFill>
                <a:sysClr val="windowText" lastClr="000000"/>
              </a:solidFill>
              <a:latin typeface="Gill Sans MT" pitchFamily="34" charset="0"/>
              <a:ea typeface="+mn-ea"/>
              <a:cs typeface="+mn-cs"/>
            </a:rPr>
            <a:t>FASES</a:t>
          </a:r>
        </a:p>
        <a:p>
          <a:pPr marL="0" indent="0" algn="ctr"/>
          <a:r>
            <a:rPr lang="es-CO" sz="1050" baseline="0">
              <a:solidFill>
                <a:sysClr val="windowText" lastClr="000000"/>
              </a:solidFill>
              <a:latin typeface="Gill Sans MT" pitchFamily="34" charset="0"/>
              <a:ea typeface="+mn-ea"/>
              <a:cs typeface="+mn-cs"/>
            </a:rPr>
            <a:t>SG-SST</a:t>
          </a:r>
          <a:endParaRPr lang="es-CO" sz="1050">
            <a:solidFill>
              <a:sysClr val="windowText" lastClr="000000"/>
            </a:solidFill>
            <a:latin typeface="Gill Sans MT" pitchFamily="34" charset="0"/>
            <a:ea typeface="+mn-ea"/>
            <a:cs typeface="+mn-cs"/>
          </a:endParaRPr>
        </a:p>
      </xdr:txBody>
    </xdr:sp>
    <xdr:clientData/>
  </xdr:twoCellAnchor>
  <xdr:twoCellAnchor editAs="oneCell">
    <xdr:from>
      <xdr:col>2</xdr:col>
      <xdr:colOff>78444</xdr:colOff>
      <xdr:row>0</xdr:row>
      <xdr:rowOff>44824</xdr:rowOff>
    </xdr:from>
    <xdr:to>
      <xdr:col>2</xdr:col>
      <xdr:colOff>263074</xdr:colOff>
      <xdr:row>0</xdr:row>
      <xdr:rowOff>224824</xdr:rowOff>
    </xdr:to>
    <xdr:pic macro="[0]!Guarda">
      <xdr:nvPicPr>
        <xdr:cNvPr id="17" name="16 Imagen">
          <a:extLst>
            <a:ext uri="{FF2B5EF4-FFF2-40B4-BE49-F238E27FC236}">
              <a16:creationId xmlns:a16="http://schemas.microsoft.com/office/drawing/2014/main" id="{00000000-0008-0000-0000-000011000000}"/>
            </a:ext>
          </a:extLst>
        </xdr:cNvPr>
        <xdr:cNvPicPr>
          <a:picLocks noChangeAspect="1" noChangeArrowheads="1"/>
        </xdr:cNvPicPr>
      </xdr:nvPicPr>
      <xdr:blipFill>
        <a:blip xmlns:r="http://schemas.openxmlformats.org/officeDocument/2006/relationships" r:embed="rId4" cstate="print">
          <a:clrChange>
            <a:clrFrom>
              <a:srgbClr val="000000"/>
            </a:clrFrom>
            <a:clrTo>
              <a:srgbClr val="000000">
                <a:alpha val="0"/>
              </a:srgbClr>
            </a:clrTo>
          </a:clrChange>
          <a:extLst>
            <a:ext uri="{28A0092B-C50C-407E-A947-70E740481C1C}">
              <a14:useLocalDpi xmlns:a14="http://schemas.microsoft.com/office/drawing/2010/main"/>
            </a:ext>
          </a:extLst>
        </a:blip>
        <a:srcRect/>
        <a:stretch>
          <a:fillRect/>
        </a:stretch>
      </xdr:blipFill>
      <xdr:spPr bwMode="auto">
        <a:xfrm>
          <a:off x="2745444" y="44824"/>
          <a:ext cx="184630" cy="180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937230</xdr:colOff>
      <xdr:row>0</xdr:row>
      <xdr:rowOff>44824</xdr:rowOff>
    </xdr:from>
    <xdr:to>
      <xdr:col>2</xdr:col>
      <xdr:colOff>1117230</xdr:colOff>
      <xdr:row>0</xdr:row>
      <xdr:rowOff>129656</xdr:rowOff>
    </xdr:to>
    <xdr:pic macro="[0]!CintaMuestra">
      <xdr:nvPicPr>
        <xdr:cNvPr id="20" name="19 Imagen">
          <a:extLst>
            <a:ext uri="{FF2B5EF4-FFF2-40B4-BE49-F238E27FC236}">
              <a16:creationId xmlns:a16="http://schemas.microsoft.com/office/drawing/2014/main" id="{00000000-0008-0000-0000-00001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a:ext>
          </a:extLst>
        </a:blip>
        <a:stretch>
          <a:fillRect/>
        </a:stretch>
      </xdr:blipFill>
      <xdr:spPr>
        <a:xfrm>
          <a:off x="3604230" y="44824"/>
          <a:ext cx="180000" cy="84832"/>
        </a:xfrm>
        <a:prstGeom prst="rect">
          <a:avLst/>
        </a:prstGeom>
      </xdr:spPr>
    </xdr:pic>
    <xdr:clientData/>
  </xdr:twoCellAnchor>
  <xdr:twoCellAnchor editAs="oneCell">
    <xdr:from>
      <xdr:col>2</xdr:col>
      <xdr:colOff>510152</xdr:colOff>
      <xdr:row>0</xdr:row>
      <xdr:rowOff>44824</xdr:rowOff>
    </xdr:from>
    <xdr:to>
      <xdr:col>2</xdr:col>
      <xdr:colOff>690152</xdr:colOff>
      <xdr:row>0</xdr:row>
      <xdr:rowOff>224824</xdr:rowOff>
    </xdr:to>
    <xdr:pic macro="[0]!GuardarCopia">
      <xdr:nvPicPr>
        <xdr:cNvPr id="24" name="23 Imagen">
          <a:extLst>
            <a:ext uri="{FF2B5EF4-FFF2-40B4-BE49-F238E27FC236}">
              <a16:creationId xmlns:a16="http://schemas.microsoft.com/office/drawing/2014/main" id="{00000000-0008-0000-0000-000018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a:ext>
          </a:extLst>
        </a:blip>
        <a:stretch>
          <a:fillRect/>
        </a:stretch>
      </xdr:blipFill>
      <xdr:spPr>
        <a:xfrm>
          <a:off x="3177152" y="44824"/>
          <a:ext cx="180000" cy="180000"/>
        </a:xfrm>
        <a:prstGeom prst="rect">
          <a:avLst/>
        </a:prstGeom>
      </xdr:spPr>
    </xdr:pic>
    <xdr:clientData/>
  </xdr:twoCellAnchor>
  <xdr:twoCellAnchor editAs="oneCell">
    <xdr:from>
      <xdr:col>3</xdr:col>
      <xdr:colOff>120455</xdr:colOff>
      <xdr:row>0</xdr:row>
      <xdr:rowOff>44824</xdr:rowOff>
    </xdr:from>
    <xdr:to>
      <xdr:col>3</xdr:col>
      <xdr:colOff>300455</xdr:colOff>
      <xdr:row>0</xdr:row>
      <xdr:rowOff>129656</xdr:rowOff>
    </xdr:to>
    <xdr:pic macro="[0]!CintaOculta">
      <xdr:nvPicPr>
        <xdr:cNvPr id="25" name="24 Imagen">
          <a:extLst>
            <a:ext uri="{FF2B5EF4-FFF2-40B4-BE49-F238E27FC236}">
              <a16:creationId xmlns:a16="http://schemas.microsoft.com/office/drawing/2014/main" id="{00000000-0008-0000-0000-000019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a:ext>
          </a:extLst>
        </a:blip>
        <a:stretch>
          <a:fillRect/>
        </a:stretch>
      </xdr:blipFill>
      <xdr:spPr>
        <a:xfrm flipV="1">
          <a:off x="4031308" y="44824"/>
          <a:ext cx="180000" cy="84832"/>
        </a:xfrm>
        <a:prstGeom prst="rect">
          <a:avLst/>
        </a:prstGeom>
      </xdr:spPr>
    </xdr:pic>
    <xdr:clientData/>
  </xdr:twoCellAnchor>
  <xdr:twoCellAnchor>
    <xdr:from>
      <xdr:col>6</xdr:col>
      <xdr:colOff>520438</xdr:colOff>
      <xdr:row>9</xdr:row>
      <xdr:rowOff>127656</xdr:rowOff>
    </xdr:from>
    <xdr:to>
      <xdr:col>8</xdr:col>
      <xdr:colOff>284100</xdr:colOff>
      <xdr:row>11</xdr:row>
      <xdr:rowOff>121284</xdr:rowOff>
    </xdr:to>
    <xdr:sp macro="[0]!RETomarDatosANT" textlink="">
      <xdr:nvSpPr>
        <xdr:cNvPr id="21" name="CuadroTexto 7">
          <a:extLst>
            <a:ext uri="{FF2B5EF4-FFF2-40B4-BE49-F238E27FC236}">
              <a16:creationId xmlns:a16="http://schemas.microsoft.com/office/drawing/2014/main" id="{00000000-0008-0000-0000-000015000000}"/>
            </a:ext>
          </a:extLst>
        </xdr:cNvPr>
        <xdr:cNvSpPr txBox="1"/>
      </xdr:nvSpPr>
      <xdr:spPr>
        <a:xfrm>
          <a:off x="8896546" y="2170130"/>
          <a:ext cx="1393714" cy="445329"/>
        </a:xfrm>
        <a:prstGeom prst="rect">
          <a:avLst/>
        </a:prstGeom>
        <a:solidFill>
          <a:srgbClr val="FEC82F"/>
        </a:solidFill>
        <a:ln w="19050">
          <a:solidFill>
            <a:srgbClr val="0097AE"/>
          </a:solidFill>
        </a:ln>
      </xdr:spPr>
      <xdr:style>
        <a:lnRef idx="1">
          <a:schemeClr val="accent6"/>
        </a:lnRef>
        <a:fillRef idx="3">
          <a:schemeClr val="accent6"/>
        </a:fillRef>
        <a:effectRef idx="2">
          <a:schemeClr val="accent6"/>
        </a:effectRef>
        <a:fontRef idx="minor">
          <a:schemeClr val="lt1"/>
        </a:fontRef>
      </xdr:style>
      <xdr:txBody>
        <a:bodyPr vertOverflow="clip" horzOverflow="clip" wrap="square" rtlCol="0" anchor="ctr"/>
        <a:lstStyle/>
        <a:p>
          <a:pPr marL="0" indent="0" algn="ctr"/>
          <a:r>
            <a:rPr lang="es-CO" sz="1100">
              <a:solidFill>
                <a:sysClr val="windowText" lastClr="000000"/>
              </a:solidFill>
              <a:latin typeface="Gill Sans MT" pitchFamily="34" charset="0"/>
              <a:ea typeface="+mn-ea"/>
              <a:cs typeface="+mn-cs"/>
            </a:rPr>
            <a:t>Cargue</a:t>
          </a:r>
          <a:r>
            <a:rPr lang="es-CO" sz="1100" baseline="0">
              <a:solidFill>
                <a:sysClr val="windowText" lastClr="000000"/>
              </a:solidFill>
              <a:latin typeface="Gill Sans MT" pitchFamily="34" charset="0"/>
              <a:ea typeface="+mn-ea"/>
              <a:cs typeface="+mn-cs"/>
            </a:rPr>
            <a:t> de evaluacion anterior</a:t>
          </a:r>
          <a:endParaRPr lang="es-CO" sz="1100">
            <a:solidFill>
              <a:sysClr val="windowText" lastClr="000000"/>
            </a:solidFill>
            <a:latin typeface="Gill Sans MT" pitchFamily="34" charset="0"/>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9</xdr:col>
      <xdr:colOff>125666</xdr:colOff>
      <xdr:row>0</xdr:row>
      <xdr:rowOff>56030</xdr:rowOff>
    </xdr:from>
    <xdr:to>
      <xdr:col>10</xdr:col>
      <xdr:colOff>505866</xdr:colOff>
      <xdr:row>0</xdr:row>
      <xdr:rowOff>638736</xdr:rowOff>
    </xdr:to>
    <xdr:sp macro="[0]!AMenu" textlink="">
      <xdr:nvSpPr>
        <xdr:cNvPr id="2" name="MEnuPpal">
          <a:extLst>
            <a:ext uri="{FF2B5EF4-FFF2-40B4-BE49-F238E27FC236}">
              <a16:creationId xmlns:a16="http://schemas.microsoft.com/office/drawing/2014/main" id="{00000000-0008-0000-0200-000002000000}"/>
            </a:ext>
          </a:extLst>
        </xdr:cNvPr>
        <xdr:cNvSpPr txBox="1"/>
      </xdr:nvSpPr>
      <xdr:spPr>
        <a:xfrm>
          <a:off x="349784" y="56030"/>
          <a:ext cx="916481" cy="582706"/>
        </a:xfrm>
        <a:prstGeom prst="rect">
          <a:avLst/>
        </a:prstGeom>
        <a:solidFill>
          <a:srgbClr val="F9B036"/>
        </a:solidFill>
        <a:ln/>
      </xdr:spPr>
      <xdr:style>
        <a:lnRef idx="1">
          <a:schemeClr val="accent6"/>
        </a:lnRef>
        <a:fillRef idx="3">
          <a:schemeClr val="accent6"/>
        </a:fillRef>
        <a:effectRef idx="2">
          <a:schemeClr val="accent6"/>
        </a:effectRef>
        <a:fontRef idx="minor">
          <a:schemeClr val="lt1"/>
        </a:fontRef>
      </xdr:style>
      <xdr:txBody>
        <a:bodyPr vertOverflow="clip" horzOverflow="clip" wrap="square" rtlCol="0" anchor="ctr"/>
        <a:lstStyle/>
        <a:p>
          <a:pPr algn="ctr"/>
          <a:r>
            <a:rPr lang="es-CO" sz="1100">
              <a:solidFill>
                <a:sysClr val="windowText" lastClr="000000"/>
              </a:solidFill>
            </a:rPr>
            <a:t>MENÚ</a:t>
          </a:r>
          <a:r>
            <a:rPr lang="es-CO" sz="1100" baseline="0">
              <a:solidFill>
                <a:sysClr val="windowText" lastClr="000000"/>
              </a:solidFill>
            </a:rPr>
            <a:t> PRINCIPAL</a:t>
          </a:r>
          <a:endParaRPr lang="es-CO" sz="1100">
            <a:solidFill>
              <a:sysClr val="windowText" lastClr="000000"/>
            </a:solidFill>
          </a:endParaRPr>
        </a:p>
      </xdr:txBody>
    </xdr:sp>
    <xdr:clientData fPrintsWithSheet="0"/>
  </xdr:twoCellAnchor>
  <xdr:twoCellAnchor editAs="absolute">
    <xdr:from>
      <xdr:col>14</xdr:col>
      <xdr:colOff>392204</xdr:colOff>
      <xdr:row>0</xdr:row>
      <xdr:rowOff>51954</xdr:rowOff>
    </xdr:from>
    <xdr:to>
      <xdr:col>16</xdr:col>
      <xdr:colOff>11206</xdr:colOff>
      <xdr:row>0</xdr:row>
      <xdr:rowOff>701895</xdr:rowOff>
    </xdr:to>
    <xdr:sp macro="[0]!ModoVerificacion" textlink="">
      <xdr:nvSpPr>
        <xdr:cNvPr id="3" name="Criterios">
          <a:extLst>
            <a:ext uri="{FF2B5EF4-FFF2-40B4-BE49-F238E27FC236}">
              <a16:creationId xmlns:a16="http://schemas.microsoft.com/office/drawing/2014/main" id="{00000000-0008-0000-0200-000003000000}"/>
            </a:ext>
          </a:extLst>
        </xdr:cNvPr>
        <xdr:cNvSpPr txBox="1"/>
      </xdr:nvSpPr>
      <xdr:spPr>
        <a:xfrm>
          <a:off x="9625851" y="51954"/>
          <a:ext cx="1322296" cy="649941"/>
        </a:xfrm>
        <a:prstGeom prst="rect">
          <a:avLst/>
        </a:prstGeom>
        <a:solidFill>
          <a:srgbClr val="F9B036"/>
        </a:solidFill>
        <a:ln/>
      </xdr:spPr>
      <xdr:style>
        <a:lnRef idx="1">
          <a:schemeClr val="accent6"/>
        </a:lnRef>
        <a:fillRef idx="3">
          <a:schemeClr val="accent6"/>
        </a:fillRef>
        <a:effectRef idx="2">
          <a:schemeClr val="accent6"/>
        </a:effectRef>
        <a:fontRef idx="minor">
          <a:schemeClr val="lt1"/>
        </a:fontRef>
      </xdr:style>
      <xdr:txBody>
        <a:bodyPr vertOverflow="clip" horzOverflow="clip" wrap="square" rtlCol="0" anchor="ctr"/>
        <a:lstStyle/>
        <a:p>
          <a:pPr algn="ctr"/>
          <a:r>
            <a:rPr lang="es-CO" sz="1050">
              <a:solidFill>
                <a:sysClr val="windowText" lastClr="000000"/>
              </a:solidFill>
            </a:rPr>
            <a:t>Criterios y modo de verificación </a:t>
          </a:r>
          <a:r>
            <a:rPr lang="es-CO" sz="1050">
              <a:solidFill>
                <a:sysClr val="windowText" lastClr="000000"/>
              </a:solidFill>
              <a:latin typeface="+mn-lt"/>
              <a:ea typeface="+mn-ea"/>
              <a:cs typeface="+mn-cs"/>
            </a:rPr>
            <a:t>para</a:t>
          </a:r>
          <a:r>
            <a:rPr lang="es-CO" sz="1050">
              <a:solidFill>
                <a:sysClr val="windowText" lastClr="000000"/>
              </a:solidFill>
            </a:rPr>
            <a:t> el item seleccionado</a:t>
          </a:r>
        </a:p>
      </xdr:txBody>
    </xdr:sp>
    <xdr:clientData fPrintsWithSheet="0"/>
  </xdr:twoCellAnchor>
  <xdr:twoCellAnchor editAs="absolute">
    <xdr:from>
      <xdr:col>11</xdr:col>
      <xdr:colOff>967305</xdr:colOff>
      <xdr:row>0</xdr:row>
      <xdr:rowOff>59419</xdr:rowOff>
    </xdr:from>
    <xdr:to>
      <xdr:col>11</xdr:col>
      <xdr:colOff>2028264</xdr:colOff>
      <xdr:row>0</xdr:row>
      <xdr:rowOff>638735</xdr:rowOff>
    </xdr:to>
    <xdr:sp macro="[0]!GrabaEvalu" textlink="">
      <xdr:nvSpPr>
        <xdr:cNvPr id="4" name="Grabar">
          <a:extLst>
            <a:ext uri="{FF2B5EF4-FFF2-40B4-BE49-F238E27FC236}">
              <a16:creationId xmlns:a16="http://schemas.microsoft.com/office/drawing/2014/main" id="{00000000-0008-0000-0200-000004000000}"/>
            </a:ext>
          </a:extLst>
        </xdr:cNvPr>
        <xdr:cNvSpPr txBox="1"/>
      </xdr:nvSpPr>
      <xdr:spPr>
        <a:xfrm>
          <a:off x="2312011" y="59419"/>
          <a:ext cx="1060959" cy="579316"/>
        </a:xfrm>
        <a:prstGeom prst="rect">
          <a:avLst/>
        </a:prstGeom>
        <a:solidFill>
          <a:srgbClr val="FFE433"/>
        </a:solidFill>
        <a:ln w="38100"/>
      </xdr:spPr>
      <xdr:style>
        <a:lnRef idx="1">
          <a:schemeClr val="accent6"/>
        </a:lnRef>
        <a:fillRef idx="3">
          <a:schemeClr val="accent6"/>
        </a:fillRef>
        <a:effectRef idx="2">
          <a:schemeClr val="accent6"/>
        </a:effectRef>
        <a:fontRef idx="minor">
          <a:schemeClr val="lt1"/>
        </a:fontRef>
      </xdr:style>
      <xdr:txBody>
        <a:bodyPr vertOverflow="clip" horzOverflow="clip" wrap="square" rtlCol="0" anchor="ctr"/>
        <a:lstStyle/>
        <a:p>
          <a:pPr algn="ctr"/>
          <a:r>
            <a:rPr lang="es-CO" sz="1100" b="1">
              <a:solidFill>
                <a:sysClr val="windowText" lastClr="000000"/>
              </a:solidFill>
            </a:rPr>
            <a:t>GRABAR EVALUACION</a:t>
          </a:r>
        </a:p>
      </xdr:txBody>
    </xdr:sp>
    <xdr:clientData fPrintsWithSheet="0"/>
  </xdr:twoCellAnchor>
  <xdr:twoCellAnchor editAs="absolute">
    <xdr:from>
      <xdr:col>17</xdr:col>
      <xdr:colOff>464405</xdr:colOff>
      <xdr:row>0</xdr:row>
      <xdr:rowOff>75160</xdr:rowOff>
    </xdr:from>
    <xdr:to>
      <xdr:col>18</xdr:col>
      <xdr:colOff>935052</xdr:colOff>
      <xdr:row>0</xdr:row>
      <xdr:rowOff>725101</xdr:rowOff>
    </xdr:to>
    <xdr:sp macro="[0]!Imprime" textlink="">
      <xdr:nvSpPr>
        <xdr:cNvPr id="5" name="Imprime">
          <a:extLst>
            <a:ext uri="{FF2B5EF4-FFF2-40B4-BE49-F238E27FC236}">
              <a16:creationId xmlns:a16="http://schemas.microsoft.com/office/drawing/2014/main" id="{00000000-0008-0000-0200-000005000000}"/>
            </a:ext>
          </a:extLst>
        </xdr:cNvPr>
        <xdr:cNvSpPr txBox="1"/>
      </xdr:nvSpPr>
      <xdr:spPr>
        <a:xfrm>
          <a:off x="12185758" y="75160"/>
          <a:ext cx="1255059" cy="649941"/>
        </a:xfrm>
        <a:prstGeom prst="rect">
          <a:avLst/>
        </a:prstGeom>
        <a:solidFill>
          <a:srgbClr val="FFE433"/>
        </a:solidFill>
        <a:ln w="38100"/>
      </xdr:spPr>
      <xdr:style>
        <a:lnRef idx="1">
          <a:schemeClr val="accent6"/>
        </a:lnRef>
        <a:fillRef idx="3">
          <a:schemeClr val="accent6"/>
        </a:fillRef>
        <a:effectRef idx="2">
          <a:schemeClr val="accent6"/>
        </a:effectRef>
        <a:fontRef idx="minor">
          <a:schemeClr val="lt1"/>
        </a:fontRef>
      </xdr:style>
      <xdr:txBody>
        <a:bodyPr vertOverflow="clip" horzOverflow="clip" wrap="square" rtlCol="0" anchor="ctr"/>
        <a:lstStyle/>
        <a:p>
          <a:pPr algn="ctr"/>
          <a:r>
            <a:rPr lang="es-CO" sz="1100">
              <a:solidFill>
                <a:sysClr val="windowText" lastClr="000000"/>
              </a:solidFill>
            </a:rPr>
            <a:t>Imprimir tabla para su firma y grabar evaluación</a:t>
          </a:r>
        </a:p>
      </xdr:txBody>
    </xdr:sp>
    <xdr:clientData fPrintsWithSheet="0"/>
  </xdr:twoCellAnchor>
  <xdr:twoCellAnchor editAs="absolute">
    <xdr:from>
      <xdr:col>10</xdr:col>
      <xdr:colOff>561894</xdr:colOff>
      <xdr:row>0</xdr:row>
      <xdr:rowOff>42021</xdr:rowOff>
    </xdr:from>
    <xdr:to>
      <xdr:col>11</xdr:col>
      <xdr:colOff>896470</xdr:colOff>
      <xdr:row>0</xdr:row>
      <xdr:rowOff>638735</xdr:rowOff>
    </xdr:to>
    <xdr:sp macro="[0]!MuestraOculta" textlink="">
      <xdr:nvSpPr>
        <xdr:cNvPr id="6" name="TotalTabla">
          <a:extLst>
            <a:ext uri="{FF2B5EF4-FFF2-40B4-BE49-F238E27FC236}">
              <a16:creationId xmlns:a16="http://schemas.microsoft.com/office/drawing/2014/main" id="{00000000-0008-0000-0200-000006000000}"/>
            </a:ext>
          </a:extLst>
        </xdr:cNvPr>
        <xdr:cNvSpPr txBox="1"/>
      </xdr:nvSpPr>
      <xdr:spPr>
        <a:xfrm>
          <a:off x="1189423" y="42021"/>
          <a:ext cx="1051753" cy="596714"/>
        </a:xfrm>
        <a:prstGeom prst="rect">
          <a:avLst/>
        </a:prstGeom>
        <a:solidFill>
          <a:srgbClr val="F9B036"/>
        </a:solidFill>
        <a:ln/>
      </xdr:spPr>
      <xdr:style>
        <a:lnRef idx="1">
          <a:schemeClr val="accent6"/>
        </a:lnRef>
        <a:fillRef idx="3">
          <a:schemeClr val="accent6"/>
        </a:fillRef>
        <a:effectRef idx="2">
          <a:schemeClr val="accent6"/>
        </a:effectRef>
        <a:fontRef idx="minor">
          <a:schemeClr val="lt1"/>
        </a:fontRef>
      </xdr:style>
      <xdr:txBody>
        <a:bodyPr vertOverflow="clip" horzOverflow="clip" wrap="square" rtlCol="0" anchor="ctr"/>
        <a:lstStyle/>
        <a:p>
          <a:pPr algn="ctr"/>
          <a:r>
            <a:rPr lang="es-CO" sz="1000">
              <a:solidFill>
                <a:sysClr val="windowText" lastClr="000000"/>
              </a:solidFill>
            </a:rPr>
            <a:t>Mostrar SÓLO items que aplican</a:t>
          </a:r>
        </a:p>
      </xdr:txBody>
    </xdr:sp>
    <xdr:clientData fPrintsWithSheet="0"/>
  </xdr:twoCellAnchor>
  <xdr:twoCellAnchor editAs="absolute">
    <xdr:from>
      <xdr:col>16</xdr:col>
      <xdr:colOff>119262</xdr:colOff>
      <xdr:row>0</xdr:row>
      <xdr:rowOff>90448</xdr:rowOff>
    </xdr:from>
    <xdr:to>
      <xdr:col>17</xdr:col>
      <xdr:colOff>336176</xdr:colOff>
      <xdr:row>0</xdr:row>
      <xdr:rowOff>717176</xdr:rowOff>
    </xdr:to>
    <xdr:sp macro="[0]!NuevaEv" textlink="">
      <xdr:nvSpPr>
        <xdr:cNvPr id="7" name="6 Rectángulo redondeado">
          <a:extLst>
            <a:ext uri="{FF2B5EF4-FFF2-40B4-BE49-F238E27FC236}">
              <a16:creationId xmlns:a16="http://schemas.microsoft.com/office/drawing/2014/main" id="{00000000-0008-0000-0200-000007000000}"/>
            </a:ext>
          </a:extLst>
        </xdr:cNvPr>
        <xdr:cNvSpPr/>
      </xdr:nvSpPr>
      <xdr:spPr>
        <a:xfrm>
          <a:off x="11056203" y="90448"/>
          <a:ext cx="1001326" cy="626728"/>
        </a:xfrm>
        <a:prstGeom prst="roundRect">
          <a:avLst/>
        </a:prstGeom>
        <a:solidFill>
          <a:srgbClr val="F9B036"/>
        </a:solid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000">
              <a:solidFill>
                <a:sysClr val="windowText" lastClr="000000"/>
              </a:solidFill>
              <a:latin typeface="Gill Sans MT" pitchFamily="34" charset="0"/>
            </a:rPr>
            <a:t>Nueva ev.</a:t>
          </a:r>
          <a:r>
            <a:rPr lang="es-CO" sz="1000" baseline="0">
              <a:solidFill>
                <a:sysClr val="windowText" lastClr="000000"/>
              </a:solidFill>
              <a:latin typeface="Gill Sans MT" pitchFamily="34" charset="0"/>
            </a:rPr>
            <a:t> a partir de esta</a:t>
          </a:r>
          <a:endParaRPr lang="es-CO" sz="1000">
            <a:solidFill>
              <a:sysClr val="windowText" lastClr="000000"/>
            </a:solidFill>
            <a:latin typeface="Gill Sans MT" pitchFamily="34" charset="0"/>
          </a:endParaRP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xdr:from>
      <xdr:col>3</xdr:col>
      <xdr:colOff>190500</xdr:colOff>
      <xdr:row>1</xdr:row>
      <xdr:rowOff>142875</xdr:rowOff>
    </xdr:from>
    <xdr:to>
      <xdr:col>4</xdr:col>
      <xdr:colOff>1028700</xdr:colOff>
      <xdr:row>1</xdr:row>
      <xdr:rowOff>460482</xdr:rowOff>
    </xdr:to>
    <xdr:sp macro="[0]!AMenu" textlink="">
      <xdr:nvSpPr>
        <xdr:cNvPr id="4" name="CuadroTexto 7">
          <a:extLst>
            <a:ext uri="{FF2B5EF4-FFF2-40B4-BE49-F238E27FC236}">
              <a16:creationId xmlns:a16="http://schemas.microsoft.com/office/drawing/2014/main" id="{00000000-0008-0000-0500-000004000000}"/>
            </a:ext>
          </a:extLst>
        </xdr:cNvPr>
        <xdr:cNvSpPr txBox="1"/>
      </xdr:nvSpPr>
      <xdr:spPr>
        <a:xfrm>
          <a:off x="2038350" y="323850"/>
          <a:ext cx="1247775" cy="317607"/>
        </a:xfrm>
        <a:prstGeom prst="rect">
          <a:avLst/>
        </a:prstGeom>
        <a:solidFill>
          <a:srgbClr val="F9B036"/>
        </a:solidFill>
        <a:ln/>
      </xdr:spPr>
      <xdr:style>
        <a:lnRef idx="1">
          <a:schemeClr val="accent6"/>
        </a:lnRef>
        <a:fillRef idx="3">
          <a:schemeClr val="accent6"/>
        </a:fillRef>
        <a:effectRef idx="2">
          <a:schemeClr val="accent6"/>
        </a:effectRef>
        <a:fontRef idx="minor">
          <a:schemeClr val="lt1"/>
        </a:fontRef>
      </xdr:style>
      <xdr:txBody>
        <a:bodyPr vertOverflow="clip" horzOverflow="clip" wrap="square" rtlCol="0" anchor="ctr"/>
        <a:lstStyle/>
        <a:p>
          <a:pPr algn="ctr"/>
          <a:r>
            <a:rPr lang="es-CO" sz="1100">
              <a:solidFill>
                <a:sysClr val="windowText" lastClr="000000"/>
              </a:solidFill>
            </a:rPr>
            <a:t>Menú</a:t>
          </a:r>
          <a:r>
            <a:rPr lang="es-CO" sz="1100" baseline="0">
              <a:solidFill>
                <a:sysClr val="windowText" lastClr="000000"/>
              </a:solidFill>
            </a:rPr>
            <a:t> Principal</a:t>
          </a:r>
          <a:endParaRPr lang="es-CO" sz="1100">
            <a:solidFill>
              <a:sysClr val="windowText" lastClr="000000"/>
            </a:solidFill>
          </a:endParaRPr>
        </a:p>
      </xdr:txBody>
    </xdr:sp>
    <xdr:clientData fPrintsWithSheet="0"/>
  </xdr:twoCellAnchor>
  <xdr:twoCellAnchor editAs="oneCell">
    <xdr:from>
      <xdr:col>9</xdr:col>
      <xdr:colOff>419100</xdr:colOff>
      <xdr:row>2</xdr:row>
      <xdr:rowOff>247650</xdr:rowOff>
    </xdr:from>
    <xdr:to>
      <xdr:col>9</xdr:col>
      <xdr:colOff>1800225</xdr:colOff>
      <xdr:row>2</xdr:row>
      <xdr:rowOff>508107</xdr:rowOff>
    </xdr:to>
    <xdr:sp macro="[0]!ModoVerificacionpm" textlink="">
      <xdr:nvSpPr>
        <xdr:cNvPr id="3" name="CuadroTexto 7">
          <a:extLst>
            <a:ext uri="{FF2B5EF4-FFF2-40B4-BE49-F238E27FC236}">
              <a16:creationId xmlns:a16="http://schemas.microsoft.com/office/drawing/2014/main" id="{00000000-0008-0000-0500-000003000000}"/>
            </a:ext>
          </a:extLst>
        </xdr:cNvPr>
        <xdr:cNvSpPr txBox="1"/>
      </xdr:nvSpPr>
      <xdr:spPr>
        <a:xfrm>
          <a:off x="9772650" y="904875"/>
          <a:ext cx="1381125" cy="260457"/>
        </a:xfrm>
        <a:prstGeom prst="rect">
          <a:avLst/>
        </a:prstGeom>
        <a:solidFill>
          <a:srgbClr val="F9B036"/>
        </a:solidFill>
        <a:ln/>
      </xdr:spPr>
      <xdr:style>
        <a:lnRef idx="1">
          <a:schemeClr val="accent6"/>
        </a:lnRef>
        <a:fillRef idx="3">
          <a:schemeClr val="accent6"/>
        </a:fillRef>
        <a:effectRef idx="2">
          <a:schemeClr val="accent6"/>
        </a:effectRef>
        <a:fontRef idx="minor">
          <a:schemeClr val="lt1"/>
        </a:fontRef>
      </xdr:style>
      <xdr:txBody>
        <a:bodyPr vertOverflow="clip" horzOverflow="clip" wrap="square" rtlCol="0" anchor="ctr"/>
        <a:lstStyle/>
        <a:p>
          <a:pPr algn="ctr"/>
          <a:r>
            <a:rPr lang="es-CO" sz="1050">
              <a:solidFill>
                <a:sysClr val="windowText" lastClr="000000"/>
              </a:solidFill>
            </a:rPr>
            <a:t>Modo de verificación</a:t>
          </a:r>
        </a:p>
      </xdr:txBody>
    </xdr:sp>
    <xdr:clientData fPrintsWithSheet="0"/>
  </xdr:twoCellAnchor>
  <xdr:twoCellAnchor editAs="oneCell">
    <xdr:from>
      <xdr:col>11</xdr:col>
      <xdr:colOff>590549</xdr:colOff>
      <xdr:row>2</xdr:row>
      <xdr:rowOff>180975</xdr:rowOff>
    </xdr:from>
    <xdr:to>
      <xdr:col>11</xdr:col>
      <xdr:colOff>1130549</xdr:colOff>
      <xdr:row>2</xdr:row>
      <xdr:rowOff>324975</xdr:rowOff>
    </xdr:to>
    <xdr:sp macro="[0]!AgregarAct" textlink="">
      <xdr:nvSpPr>
        <xdr:cNvPr id="5" name="CuadroTexto 7">
          <a:extLst>
            <a:ext uri="{FF2B5EF4-FFF2-40B4-BE49-F238E27FC236}">
              <a16:creationId xmlns:a16="http://schemas.microsoft.com/office/drawing/2014/main" id="{00000000-0008-0000-0500-000005000000}"/>
            </a:ext>
          </a:extLst>
        </xdr:cNvPr>
        <xdr:cNvSpPr txBox="1"/>
      </xdr:nvSpPr>
      <xdr:spPr>
        <a:xfrm>
          <a:off x="12230099" y="857250"/>
          <a:ext cx="540000" cy="144000"/>
        </a:xfrm>
        <a:prstGeom prst="rect">
          <a:avLst/>
        </a:prstGeom>
        <a:solidFill>
          <a:srgbClr val="F9B036"/>
        </a:solidFill>
        <a:ln/>
      </xdr:spPr>
      <xdr:style>
        <a:lnRef idx="1">
          <a:schemeClr val="accent6"/>
        </a:lnRef>
        <a:fillRef idx="3">
          <a:schemeClr val="accent6"/>
        </a:fillRef>
        <a:effectRef idx="2">
          <a:schemeClr val="accent6"/>
        </a:effectRef>
        <a:fontRef idx="minor">
          <a:schemeClr val="lt1"/>
        </a:fontRef>
      </xdr:style>
      <xdr:txBody>
        <a:bodyPr vertOverflow="clip" horzOverflow="clip" wrap="square" rtlCol="0" anchor="ctr"/>
        <a:lstStyle/>
        <a:p>
          <a:pPr algn="ctr"/>
          <a:r>
            <a:rPr lang="es-CO" sz="700">
              <a:solidFill>
                <a:sysClr val="windowText" lastClr="000000"/>
              </a:solidFill>
            </a:rPr>
            <a:t>Agregar</a:t>
          </a:r>
        </a:p>
      </xdr:txBody>
    </xdr:sp>
    <xdr:clientData fPrintsWithSheet="0"/>
  </xdr:twoCellAnchor>
  <xdr:twoCellAnchor editAs="oneCell">
    <xdr:from>
      <xdr:col>11</xdr:col>
      <xdr:colOff>1219199</xdr:colOff>
      <xdr:row>2</xdr:row>
      <xdr:rowOff>180975</xdr:rowOff>
    </xdr:from>
    <xdr:to>
      <xdr:col>11</xdr:col>
      <xdr:colOff>1759199</xdr:colOff>
      <xdr:row>2</xdr:row>
      <xdr:rowOff>324975</xdr:rowOff>
    </xdr:to>
    <xdr:sp macro="[0]!EliminarAct" textlink="">
      <xdr:nvSpPr>
        <xdr:cNvPr id="6" name="CuadroTexto 7">
          <a:extLst>
            <a:ext uri="{FF2B5EF4-FFF2-40B4-BE49-F238E27FC236}">
              <a16:creationId xmlns:a16="http://schemas.microsoft.com/office/drawing/2014/main" id="{00000000-0008-0000-0500-000006000000}"/>
            </a:ext>
          </a:extLst>
        </xdr:cNvPr>
        <xdr:cNvSpPr txBox="1"/>
      </xdr:nvSpPr>
      <xdr:spPr>
        <a:xfrm>
          <a:off x="12858749" y="857250"/>
          <a:ext cx="540000" cy="144000"/>
        </a:xfrm>
        <a:prstGeom prst="rect">
          <a:avLst/>
        </a:prstGeom>
        <a:solidFill>
          <a:srgbClr val="F9B036"/>
        </a:solidFill>
        <a:ln/>
      </xdr:spPr>
      <xdr:style>
        <a:lnRef idx="1">
          <a:schemeClr val="accent6"/>
        </a:lnRef>
        <a:fillRef idx="3">
          <a:schemeClr val="accent6"/>
        </a:fillRef>
        <a:effectRef idx="2">
          <a:schemeClr val="accent6"/>
        </a:effectRef>
        <a:fontRef idx="minor">
          <a:schemeClr val="lt1"/>
        </a:fontRef>
      </xdr:style>
      <xdr:txBody>
        <a:bodyPr vertOverflow="clip" horzOverflow="clip" wrap="square" rtlCol="0" anchor="ctr"/>
        <a:lstStyle/>
        <a:p>
          <a:pPr algn="ctr"/>
          <a:r>
            <a:rPr lang="es-CO" sz="700">
              <a:solidFill>
                <a:sysClr val="windowText" lastClr="000000"/>
              </a:solidFill>
            </a:rPr>
            <a:t>Eliminar</a:t>
          </a:r>
        </a:p>
      </xdr:txBody>
    </xdr:sp>
    <xdr:clientData fPrintsWithSheet="0"/>
  </xdr:twoCellAnchor>
  <mc:AlternateContent xmlns:mc="http://schemas.openxmlformats.org/markup-compatibility/2006">
    <mc:Choice xmlns:a14="http://schemas.microsoft.com/office/drawing/2010/main" Requires="a14">
      <xdr:twoCellAnchor>
        <xdr:from>
          <xdr:col>11</xdr:col>
          <xdr:colOff>152400</xdr:colOff>
          <xdr:row>1</xdr:row>
          <xdr:rowOff>57150</xdr:rowOff>
        </xdr:from>
        <xdr:to>
          <xdr:col>11</xdr:col>
          <xdr:colOff>1574800</xdr:colOff>
          <xdr:row>1</xdr:row>
          <xdr:rowOff>457200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500-000001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Generar duplicado de este plan de trabajo</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6</xdr:col>
      <xdr:colOff>66674</xdr:colOff>
      <xdr:row>0</xdr:row>
      <xdr:rowOff>66675</xdr:rowOff>
    </xdr:from>
    <xdr:to>
      <xdr:col>12</xdr:col>
      <xdr:colOff>261937</xdr:colOff>
      <xdr:row>15</xdr:row>
      <xdr:rowOff>35718</xdr:rowOff>
    </xdr:to>
    <xdr:graphicFrame macro="">
      <xdr:nvGraphicFramePr>
        <xdr:cNvPr id="3" name="2 Gráfico">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73819</xdr:colOff>
      <xdr:row>15</xdr:row>
      <xdr:rowOff>158984</xdr:rowOff>
    </xdr:from>
    <xdr:to>
      <xdr:col>12</xdr:col>
      <xdr:colOff>250031</xdr:colOff>
      <xdr:row>30</xdr:row>
      <xdr:rowOff>170890</xdr:rowOff>
    </xdr:to>
    <xdr:graphicFrame macro="">
      <xdr:nvGraphicFramePr>
        <xdr:cNvPr id="4" name="3 Gráfico">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xdr:col>
      <xdr:colOff>404812</xdr:colOff>
      <xdr:row>0</xdr:row>
      <xdr:rowOff>119063</xdr:rowOff>
    </xdr:from>
    <xdr:to>
      <xdr:col>1</xdr:col>
      <xdr:colOff>1665634</xdr:colOff>
      <xdr:row>0</xdr:row>
      <xdr:rowOff>417620</xdr:rowOff>
    </xdr:to>
    <xdr:sp macro="[0]!AMenu" textlink="">
      <xdr:nvSpPr>
        <xdr:cNvPr id="5" name="CuadroTexto 7">
          <a:extLst>
            <a:ext uri="{FF2B5EF4-FFF2-40B4-BE49-F238E27FC236}">
              <a16:creationId xmlns:a16="http://schemas.microsoft.com/office/drawing/2014/main" id="{00000000-0008-0000-0800-000005000000}"/>
            </a:ext>
          </a:extLst>
        </xdr:cNvPr>
        <xdr:cNvSpPr txBox="1"/>
      </xdr:nvSpPr>
      <xdr:spPr>
        <a:xfrm>
          <a:off x="762000" y="119063"/>
          <a:ext cx="1260822" cy="298557"/>
        </a:xfrm>
        <a:prstGeom prst="rect">
          <a:avLst/>
        </a:prstGeom>
        <a:solidFill>
          <a:srgbClr val="F9B036"/>
        </a:solidFill>
        <a:ln/>
      </xdr:spPr>
      <xdr:style>
        <a:lnRef idx="1">
          <a:schemeClr val="accent6"/>
        </a:lnRef>
        <a:fillRef idx="3">
          <a:schemeClr val="accent6"/>
        </a:fillRef>
        <a:effectRef idx="2">
          <a:schemeClr val="accent6"/>
        </a:effectRef>
        <a:fontRef idx="minor">
          <a:schemeClr val="lt1"/>
        </a:fontRef>
      </xdr:style>
      <xdr:txBody>
        <a:bodyPr vertOverflow="clip" horzOverflow="clip" wrap="square" rtlCol="0" anchor="ctr"/>
        <a:lstStyle/>
        <a:p>
          <a:pPr algn="ctr"/>
          <a:r>
            <a:rPr lang="es-CO" sz="1100">
              <a:solidFill>
                <a:sysClr val="windowText" lastClr="000000"/>
              </a:solidFill>
            </a:rPr>
            <a:t>Menú</a:t>
          </a:r>
          <a:r>
            <a:rPr lang="es-CO" sz="1100" baseline="0">
              <a:solidFill>
                <a:sysClr val="windowText" lastClr="000000"/>
              </a:solidFill>
            </a:rPr>
            <a:t> Principal</a:t>
          </a:r>
          <a:endParaRPr lang="es-CO" sz="1100">
            <a:solidFill>
              <a:sysClr val="windowText" lastClr="000000"/>
            </a:solidFill>
          </a:endParaRPr>
        </a:p>
      </xdr:txBody>
    </xdr:sp>
    <xdr:clientData fPrintsWithSheet="0"/>
  </xdr:twoCellAnchor>
  <xdr:twoCellAnchor editAs="oneCell">
    <xdr:from>
      <xdr:col>12</xdr:col>
      <xdr:colOff>313765</xdr:colOff>
      <xdr:row>0</xdr:row>
      <xdr:rowOff>280147</xdr:rowOff>
    </xdr:from>
    <xdr:to>
      <xdr:col>26</xdr:col>
      <xdr:colOff>515471</xdr:colOff>
      <xdr:row>0</xdr:row>
      <xdr:rowOff>578704</xdr:rowOff>
    </xdr:to>
    <xdr:sp macro="[0]!CopiarGraf1" textlink="">
      <xdr:nvSpPr>
        <xdr:cNvPr id="6" name="CuadroTexto 7">
          <a:extLst>
            <a:ext uri="{FF2B5EF4-FFF2-40B4-BE49-F238E27FC236}">
              <a16:creationId xmlns:a16="http://schemas.microsoft.com/office/drawing/2014/main" id="{00000000-0008-0000-0800-000006000000}"/>
            </a:ext>
          </a:extLst>
        </xdr:cNvPr>
        <xdr:cNvSpPr txBox="1"/>
      </xdr:nvSpPr>
      <xdr:spPr>
        <a:xfrm>
          <a:off x="9928412" y="280147"/>
          <a:ext cx="963706" cy="298557"/>
        </a:xfrm>
        <a:prstGeom prst="rect">
          <a:avLst/>
        </a:prstGeom>
        <a:solidFill>
          <a:srgbClr val="F9B036"/>
        </a:solidFill>
        <a:ln/>
      </xdr:spPr>
      <xdr:style>
        <a:lnRef idx="1">
          <a:schemeClr val="accent6"/>
        </a:lnRef>
        <a:fillRef idx="3">
          <a:schemeClr val="accent6"/>
        </a:fillRef>
        <a:effectRef idx="2">
          <a:schemeClr val="accent6"/>
        </a:effectRef>
        <a:fontRef idx="minor">
          <a:schemeClr val="lt1"/>
        </a:fontRef>
      </xdr:style>
      <xdr:txBody>
        <a:bodyPr vertOverflow="clip" horzOverflow="clip" wrap="square" rtlCol="0" anchor="ctr"/>
        <a:lstStyle/>
        <a:p>
          <a:pPr algn="ctr"/>
          <a:r>
            <a:rPr lang="es-CO" sz="1050">
              <a:solidFill>
                <a:sysClr val="windowText" lastClr="000000"/>
              </a:solidFill>
            </a:rPr>
            <a:t>Copiar gráfico</a:t>
          </a:r>
        </a:p>
      </xdr:txBody>
    </xdr:sp>
    <xdr:clientData fPrintsWithSheet="0"/>
  </xdr:twoCellAnchor>
  <xdr:twoCellAnchor editAs="oneCell">
    <xdr:from>
      <xdr:col>12</xdr:col>
      <xdr:colOff>347381</xdr:colOff>
      <xdr:row>16</xdr:row>
      <xdr:rowOff>168088</xdr:rowOff>
    </xdr:from>
    <xdr:to>
      <xdr:col>26</xdr:col>
      <xdr:colOff>549087</xdr:colOff>
      <xdr:row>18</xdr:row>
      <xdr:rowOff>85645</xdr:rowOff>
    </xdr:to>
    <xdr:sp macro="[0]!CopiarGraf2" textlink="">
      <xdr:nvSpPr>
        <xdr:cNvPr id="8" name="CuadroTexto 7">
          <a:extLst>
            <a:ext uri="{FF2B5EF4-FFF2-40B4-BE49-F238E27FC236}">
              <a16:creationId xmlns:a16="http://schemas.microsoft.com/office/drawing/2014/main" id="{00000000-0008-0000-0800-000008000000}"/>
            </a:ext>
          </a:extLst>
        </xdr:cNvPr>
        <xdr:cNvSpPr txBox="1"/>
      </xdr:nvSpPr>
      <xdr:spPr>
        <a:xfrm>
          <a:off x="9962028" y="3641912"/>
          <a:ext cx="963706" cy="298557"/>
        </a:xfrm>
        <a:prstGeom prst="rect">
          <a:avLst/>
        </a:prstGeom>
        <a:solidFill>
          <a:srgbClr val="F9B036"/>
        </a:solidFill>
        <a:ln/>
      </xdr:spPr>
      <xdr:style>
        <a:lnRef idx="1">
          <a:schemeClr val="accent6"/>
        </a:lnRef>
        <a:fillRef idx="3">
          <a:schemeClr val="accent6"/>
        </a:fillRef>
        <a:effectRef idx="2">
          <a:schemeClr val="accent6"/>
        </a:effectRef>
        <a:fontRef idx="minor">
          <a:schemeClr val="lt1"/>
        </a:fontRef>
      </xdr:style>
      <xdr:txBody>
        <a:bodyPr vertOverflow="clip" horzOverflow="clip" wrap="square" rtlCol="0" anchor="ctr"/>
        <a:lstStyle/>
        <a:p>
          <a:pPr algn="ctr"/>
          <a:r>
            <a:rPr lang="es-CO" sz="1050">
              <a:solidFill>
                <a:sysClr val="windowText" lastClr="000000"/>
              </a:solidFill>
            </a:rPr>
            <a:t>Copiar gráfico</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editAs="oneCell">
    <xdr:from>
      <xdr:col>1</xdr:col>
      <xdr:colOff>404812</xdr:colOff>
      <xdr:row>0</xdr:row>
      <xdr:rowOff>119063</xdr:rowOff>
    </xdr:from>
    <xdr:to>
      <xdr:col>1</xdr:col>
      <xdr:colOff>1665634</xdr:colOff>
      <xdr:row>0</xdr:row>
      <xdr:rowOff>417620</xdr:rowOff>
    </xdr:to>
    <xdr:sp macro="[0]!AMenu" textlink="">
      <xdr:nvSpPr>
        <xdr:cNvPr id="4" name="CuadroTexto 7">
          <a:extLst>
            <a:ext uri="{FF2B5EF4-FFF2-40B4-BE49-F238E27FC236}">
              <a16:creationId xmlns:a16="http://schemas.microsoft.com/office/drawing/2014/main" id="{00000000-0008-0000-0900-000004000000}"/>
            </a:ext>
          </a:extLst>
        </xdr:cNvPr>
        <xdr:cNvSpPr txBox="1"/>
      </xdr:nvSpPr>
      <xdr:spPr>
        <a:xfrm>
          <a:off x="757237" y="119063"/>
          <a:ext cx="1260822" cy="298557"/>
        </a:xfrm>
        <a:prstGeom prst="rect">
          <a:avLst/>
        </a:prstGeom>
        <a:solidFill>
          <a:srgbClr val="F9B036"/>
        </a:solidFill>
        <a:ln/>
      </xdr:spPr>
      <xdr:style>
        <a:lnRef idx="1">
          <a:schemeClr val="accent6"/>
        </a:lnRef>
        <a:fillRef idx="3">
          <a:schemeClr val="accent6"/>
        </a:fillRef>
        <a:effectRef idx="2">
          <a:schemeClr val="accent6"/>
        </a:effectRef>
        <a:fontRef idx="minor">
          <a:schemeClr val="lt1"/>
        </a:fontRef>
      </xdr:style>
      <xdr:txBody>
        <a:bodyPr vertOverflow="clip" horzOverflow="clip" wrap="square" rtlCol="0" anchor="ctr"/>
        <a:lstStyle/>
        <a:p>
          <a:pPr algn="ctr"/>
          <a:r>
            <a:rPr lang="es-CO" sz="1100">
              <a:solidFill>
                <a:sysClr val="windowText" lastClr="000000"/>
              </a:solidFill>
            </a:rPr>
            <a:t>Menú</a:t>
          </a:r>
          <a:r>
            <a:rPr lang="es-CO" sz="1100" baseline="0">
              <a:solidFill>
                <a:sysClr val="windowText" lastClr="000000"/>
              </a:solidFill>
            </a:rPr>
            <a:t> Principal</a:t>
          </a:r>
          <a:endParaRPr lang="es-CO" sz="1100">
            <a:solidFill>
              <a:sysClr val="windowText" lastClr="000000"/>
            </a:solidFill>
          </a:endParaRPr>
        </a:p>
      </xdr:txBody>
    </xdr:sp>
    <xdr:clientData fPrintsWithSheet="0"/>
  </xdr:twoCellAnchor>
  <xdr:twoCellAnchor editAs="oneCell">
    <xdr:from>
      <xdr:col>1</xdr:col>
      <xdr:colOff>1571625</xdr:colOff>
      <xdr:row>1</xdr:row>
      <xdr:rowOff>47623</xdr:rowOff>
    </xdr:from>
    <xdr:to>
      <xdr:col>1</xdr:col>
      <xdr:colOff>2287075</xdr:colOff>
      <xdr:row>1</xdr:row>
      <xdr:rowOff>371623</xdr:rowOff>
    </xdr:to>
    <xdr:sp macro="[0]!MosGrf1" textlink="">
      <xdr:nvSpPr>
        <xdr:cNvPr id="6" name="CuadroTexto 7" descr="MESTRA UN GRAFICO" title="VER GRAFICO ASOCIADO">
          <a:extLst>
            <a:ext uri="{FF2B5EF4-FFF2-40B4-BE49-F238E27FC236}">
              <a16:creationId xmlns:a16="http://schemas.microsoft.com/office/drawing/2014/main" id="{00000000-0008-0000-0900-000006000000}"/>
            </a:ext>
          </a:extLst>
        </xdr:cNvPr>
        <xdr:cNvSpPr txBox="1"/>
      </xdr:nvSpPr>
      <xdr:spPr>
        <a:xfrm>
          <a:off x="1928813" y="642936"/>
          <a:ext cx="715450" cy="324000"/>
        </a:xfrm>
        <a:prstGeom prst="rect">
          <a:avLst/>
        </a:prstGeom>
        <a:solidFill>
          <a:srgbClr val="F9B036"/>
        </a:solidFill>
        <a:ln/>
      </xdr:spPr>
      <xdr:style>
        <a:lnRef idx="1">
          <a:schemeClr val="accent6"/>
        </a:lnRef>
        <a:fillRef idx="3">
          <a:schemeClr val="accent6"/>
        </a:fillRef>
        <a:effectRef idx="2">
          <a:schemeClr val="accent6"/>
        </a:effectRef>
        <a:fontRef idx="minor">
          <a:schemeClr val="lt1"/>
        </a:fontRef>
      </xdr:style>
      <xdr:txBody>
        <a:bodyPr vertOverflow="clip" horzOverflow="clip" wrap="square" rtlCol="0" anchor="ctr"/>
        <a:lstStyle/>
        <a:p>
          <a:pPr algn="ctr"/>
          <a:r>
            <a:rPr lang="es-CO" sz="1100">
              <a:solidFill>
                <a:sysClr val="windowText" lastClr="000000"/>
              </a:solidFill>
            </a:rPr>
            <a:t>Graficar</a:t>
          </a:r>
        </a:p>
      </xdr:txBody>
    </xdr:sp>
    <xdr:clientData fPrintsWithSheet="0"/>
  </xdr:twoCellAnchor>
  <xdr:twoCellAnchor editAs="oneCell">
    <xdr:from>
      <xdr:col>1</xdr:col>
      <xdr:colOff>1643062</xdr:colOff>
      <xdr:row>14</xdr:row>
      <xdr:rowOff>57149</xdr:rowOff>
    </xdr:from>
    <xdr:to>
      <xdr:col>1</xdr:col>
      <xdr:colOff>2310888</xdr:colOff>
      <xdr:row>14</xdr:row>
      <xdr:rowOff>381149</xdr:rowOff>
    </xdr:to>
    <xdr:sp macro="[0]!MosGrf2" textlink="">
      <xdr:nvSpPr>
        <xdr:cNvPr id="7" name="CuadroTexto 7">
          <a:extLst>
            <a:ext uri="{FF2B5EF4-FFF2-40B4-BE49-F238E27FC236}">
              <a16:creationId xmlns:a16="http://schemas.microsoft.com/office/drawing/2014/main" id="{00000000-0008-0000-0900-000007000000}"/>
            </a:ext>
          </a:extLst>
        </xdr:cNvPr>
        <xdr:cNvSpPr txBox="1"/>
      </xdr:nvSpPr>
      <xdr:spPr>
        <a:xfrm>
          <a:off x="2000250" y="3402805"/>
          <a:ext cx="667826" cy="324000"/>
        </a:xfrm>
        <a:prstGeom prst="rect">
          <a:avLst/>
        </a:prstGeom>
        <a:solidFill>
          <a:srgbClr val="F9B036"/>
        </a:solidFill>
        <a:ln/>
      </xdr:spPr>
      <xdr:style>
        <a:lnRef idx="1">
          <a:schemeClr val="accent6"/>
        </a:lnRef>
        <a:fillRef idx="3">
          <a:schemeClr val="accent6"/>
        </a:fillRef>
        <a:effectRef idx="2">
          <a:schemeClr val="accent6"/>
        </a:effectRef>
        <a:fontRef idx="minor">
          <a:schemeClr val="lt1"/>
        </a:fontRef>
      </xdr:style>
      <xdr:txBody>
        <a:bodyPr vertOverflow="clip" horzOverflow="clip" wrap="square" rtlCol="0" anchor="ctr"/>
        <a:lstStyle/>
        <a:p>
          <a:pPr algn="ctr"/>
          <a:r>
            <a:rPr lang="es-CO" sz="1050">
              <a:solidFill>
                <a:sysClr val="windowText" lastClr="000000"/>
              </a:solidFill>
            </a:rPr>
            <a:t>Graficar</a:t>
          </a:r>
        </a:p>
      </xdr:txBody>
    </xdr:sp>
    <xdr:clientData fPrintsWithSheet="0"/>
  </xdr:twoCellAnchor>
  <xdr:twoCellAnchor editAs="oneCell">
    <xdr:from>
      <xdr:col>1</xdr:col>
      <xdr:colOff>1714499</xdr:colOff>
      <xdr:row>21</xdr:row>
      <xdr:rowOff>19049</xdr:rowOff>
    </xdr:from>
    <xdr:to>
      <xdr:col>1</xdr:col>
      <xdr:colOff>2382324</xdr:colOff>
      <xdr:row>21</xdr:row>
      <xdr:rowOff>343049</xdr:rowOff>
    </xdr:to>
    <xdr:sp macro="[0]!MosGrf3" textlink="">
      <xdr:nvSpPr>
        <xdr:cNvPr id="8" name="CuadroTexto 7">
          <a:extLst>
            <a:ext uri="{FF2B5EF4-FFF2-40B4-BE49-F238E27FC236}">
              <a16:creationId xmlns:a16="http://schemas.microsoft.com/office/drawing/2014/main" id="{00000000-0008-0000-0900-000008000000}"/>
            </a:ext>
          </a:extLst>
        </xdr:cNvPr>
        <xdr:cNvSpPr txBox="1"/>
      </xdr:nvSpPr>
      <xdr:spPr>
        <a:xfrm>
          <a:off x="2071687" y="4948237"/>
          <a:ext cx="667825" cy="324000"/>
        </a:xfrm>
        <a:prstGeom prst="rect">
          <a:avLst/>
        </a:prstGeom>
        <a:solidFill>
          <a:srgbClr val="F9B036"/>
        </a:solidFill>
        <a:ln/>
      </xdr:spPr>
      <xdr:style>
        <a:lnRef idx="1">
          <a:schemeClr val="accent6"/>
        </a:lnRef>
        <a:fillRef idx="3">
          <a:schemeClr val="accent6"/>
        </a:fillRef>
        <a:effectRef idx="2">
          <a:schemeClr val="accent6"/>
        </a:effectRef>
        <a:fontRef idx="minor">
          <a:schemeClr val="lt1"/>
        </a:fontRef>
      </xdr:style>
      <xdr:txBody>
        <a:bodyPr vertOverflow="clip" horzOverflow="clip" wrap="square" rtlCol="0" anchor="ctr"/>
        <a:lstStyle/>
        <a:p>
          <a:pPr algn="ctr"/>
          <a:r>
            <a:rPr lang="es-CO" sz="1050">
              <a:solidFill>
                <a:sysClr val="windowText" lastClr="000000"/>
              </a:solidFill>
            </a:rPr>
            <a:t>Graficar</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editAs="oneCell">
    <xdr:from>
      <xdr:col>1</xdr:col>
      <xdr:colOff>47624</xdr:colOff>
      <xdr:row>2</xdr:row>
      <xdr:rowOff>180975</xdr:rowOff>
    </xdr:from>
    <xdr:to>
      <xdr:col>7</xdr:col>
      <xdr:colOff>114299</xdr:colOff>
      <xdr:row>4</xdr:row>
      <xdr:rowOff>47625</xdr:rowOff>
    </xdr:to>
    <xdr:sp macro="[0]!AMenu" textlink="">
      <xdr:nvSpPr>
        <xdr:cNvPr id="2" name="MEnuPpal">
          <a:extLst>
            <a:ext uri="{FF2B5EF4-FFF2-40B4-BE49-F238E27FC236}">
              <a16:creationId xmlns:a16="http://schemas.microsoft.com/office/drawing/2014/main" id="{00000000-0008-0000-0A00-000002000000}"/>
            </a:ext>
          </a:extLst>
        </xdr:cNvPr>
        <xdr:cNvSpPr txBox="1"/>
      </xdr:nvSpPr>
      <xdr:spPr>
        <a:xfrm>
          <a:off x="238124" y="180975"/>
          <a:ext cx="1552575" cy="304800"/>
        </a:xfrm>
        <a:prstGeom prst="rect">
          <a:avLst/>
        </a:prstGeom>
        <a:solidFill>
          <a:srgbClr val="F9B036"/>
        </a:solidFill>
        <a:ln/>
      </xdr:spPr>
      <xdr:style>
        <a:lnRef idx="1">
          <a:schemeClr val="accent6"/>
        </a:lnRef>
        <a:fillRef idx="3">
          <a:schemeClr val="accent6"/>
        </a:fillRef>
        <a:effectRef idx="2">
          <a:schemeClr val="accent6"/>
        </a:effectRef>
        <a:fontRef idx="minor">
          <a:schemeClr val="lt1"/>
        </a:fontRef>
      </xdr:style>
      <xdr:txBody>
        <a:bodyPr vertOverflow="clip" horzOverflow="clip" wrap="square" rtlCol="0" anchor="ctr"/>
        <a:lstStyle/>
        <a:p>
          <a:pPr algn="ctr"/>
          <a:r>
            <a:rPr lang="es-CO" sz="1100">
              <a:solidFill>
                <a:sysClr val="windowText" lastClr="000000"/>
              </a:solidFill>
            </a:rPr>
            <a:t>MENÚ</a:t>
          </a:r>
          <a:r>
            <a:rPr lang="es-CO" sz="1100" baseline="0">
              <a:solidFill>
                <a:sysClr val="windowText" lastClr="000000"/>
              </a:solidFill>
            </a:rPr>
            <a:t> PRINCIPAL</a:t>
          </a:r>
          <a:endParaRPr lang="es-CO" sz="1100">
            <a:solidFill>
              <a:sysClr val="windowText" lastClr="000000"/>
            </a:solidFill>
          </a:endParaRPr>
        </a:p>
      </xdr:txBody>
    </xdr:sp>
    <xdr:clientData fPrintsWithSheet="0"/>
  </xdr:twoCellAnchor>
</xdr:wsDr>
</file>

<file path=xl/drawings/drawing7.xml><?xml version="1.0" encoding="utf-8"?>
<xdr:wsDr xmlns:xdr="http://schemas.openxmlformats.org/drawingml/2006/spreadsheetDrawing" xmlns:a="http://schemas.openxmlformats.org/drawingml/2006/main">
  <xdr:absoluteAnchor>
    <xdr:pos x="0" y="0"/>
    <xdr:ext cx="8674223" cy="6297597"/>
    <xdr:graphicFrame macro="">
      <xdr:nvGraphicFramePr>
        <xdr:cNvPr id="2" name="1 Gráfico">
          <a:extLst>
            <a:ext uri="{FF2B5EF4-FFF2-40B4-BE49-F238E27FC236}">
              <a16:creationId xmlns:a16="http://schemas.microsoft.com/office/drawing/2014/main" id="{00000000-0008-0000-0B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8.xml><?xml version="1.0" encoding="utf-8"?>
<xdr:wsDr xmlns:xdr="http://schemas.openxmlformats.org/drawingml/2006/spreadsheetDrawing" xmlns:a="http://schemas.openxmlformats.org/drawingml/2006/main">
  <xdr:absoluteAnchor>
    <xdr:pos x="0" y="0"/>
    <xdr:ext cx="8674223" cy="6297597"/>
    <xdr:graphicFrame macro="">
      <xdr:nvGraphicFramePr>
        <xdr:cNvPr id="2" name="1 Gráfico">
          <a:extLst>
            <a:ext uri="{FF2B5EF4-FFF2-40B4-BE49-F238E27FC236}">
              <a16:creationId xmlns:a16="http://schemas.microsoft.com/office/drawing/2014/main" id="{00000000-0008-0000-0C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9.xml><?xml version="1.0" encoding="utf-8"?>
<xdr:wsDr xmlns:xdr="http://schemas.openxmlformats.org/drawingml/2006/spreadsheetDrawing" xmlns:a="http://schemas.openxmlformats.org/drawingml/2006/main">
  <xdr:absoluteAnchor>
    <xdr:pos x="0" y="0"/>
    <xdr:ext cx="8667750" cy="6296025"/>
    <xdr:graphicFrame macro="">
      <xdr:nvGraphicFramePr>
        <xdr:cNvPr id="2" name="1 Gráfico">
          <a:extLst>
            <a:ext uri="{FF2B5EF4-FFF2-40B4-BE49-F238E27FC236}">
              <a16:creationId xmlns:a16="http://schemas.microsoft.com/office/drawing/2014/main" id="{00000000-0008-0000-0D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AO201"/>
  <sheetViews>
    <sheetView showGridLines="0" showRowColHeaders="0" tabSelected="1" topLeftCell="A13" zoomScale="87" zoomScaleNormal="87" workbookViewId="0">
      <selection activeCell="C20" sqref="C20:D20"/>
    </sheetView>
  </sheetViews>
  <sheetFormatPr baseColWidth="10" defaultRowHeight="15.5" x14ac:dyDescent="0.35"/>
  <cols>
    <col min="1" max="1" width="15.81640625" style="98" customWidth="1"/>
    <col min="2" max="2" width="24.1796875" customWidth="1"/>
    <col min="3" max="3" width="18.54296875" customWidth="1"/>
    <col min="4" max="4" width="26.81640625" customWidth="1"/>
    <col min="5" max="5" width="19.54296875" customWidth="1"/>
    <col min="6" max="6" width="20.54296875" customWidth="1"/>
    <col min="7" max="7" width="11" style="50" customWidth="1"/>
    <col min="8" max="8" width="13.453125" style="50" customWidth="1"/>
    <col min="9" max="9" width="12.453125" style="50" customWidth="1"/>
    <col min="10" max="10" width="11.453125" style="102"/>
    <col min="11" max="11" width="22.7265625" customWidth="1"/>
    <col min="12" max="12" width="4.26953125" customWidth="1"/>
    <col min="13" max="16" width="5.54296875" hidden="1" customWidth="1"/>
    <col min="17" max="17" width="11.81640625" hidden="1" customWidth="1"/>
    <col min="18" max="24" width="0.81640625" hidden="1" customWidth="1"/>
    <col min="25" max="28" width="1.26953125" hidden="1" customWidth="1"/>
    <col min="29" max="41" width="11.453125" hidden="1" customWidth="1"/>
    <col min="42" max="50" width="11.453125" customWidth="1"/>
  </cols>
  <sheetData>
    <row r="1" spans="1:35" ht="26.25" customHeight="1" x14ac:dyDescent="0.5">
      <c r="A1" s="149">
        <f ca="1">TODAY()</f>
        <v>45625</v>
      </c>
      <c r="B1" s="132"/>
      <c r="C1" s="160"/>
      <c r="D1" s="133"/>
      <c r="E1" s="133"/>
      <c r="F1" s="133"/>
      <c r="G1" s="134"/>
      <c r="H1" s="135"/>
      <c r="I1" s="134"/>
      <c r="J1" s="136"/>
      <c r="K1" s="133"/>
      <c r="L1" s="2"/>
      <c r="M1" s="2"/>
      <c r="N1" s="2"/>
      <c r="O1" s="2"/>
      <c r="P1" s="2"/>
      <c r="Q1" s="2"/>
      <c r="R1" s="2"/>
      <c r="S1" s="2"/>
      <c r="T1" s="2"/>
      <c r="U1" s="2"/>
      <c r="V1" s="2"/>
      <c r="W1" s="2"/>
      <c r="X1" s="2"/>
      <c r="Y1" s="3"/>
      <c r="Z1" s="2"/>
      <c r="AA1" s="2"/>
      <c r="AB1" s="2"/>
      <c r="AC1" s="2"/>
      <c r="AD1" s="2"/>
      <c r="AE1" s="2"/>
      <c r="AF1" s="2"/>
      <c r="AG1" s="2"/>
      <c r="AH1" s="2"/>
      <c r="AI1" s="2"/>
    </row>
    <row r="2" spans="1:35" ht="21" x14ac:dyDescent="0.6">
      <c r="A2" s="128"/>
      <c r="B2" s="132"/>
      <c r="C2" s="206" t="s">
        <v>453</v>
      </c>
      <c r="D2" s="206"/>
      <c r="E2" s="206"/>
      <c r="F2" s="206"/>
      <c r="G2" s="206"/>
      <c r="H2" s="206"/>
      <c r="I2" s="206"/>
      <c r="J2" s="206"/>
      <c r="K2" s="133"/>
      <c r="L2" s="2"/>
      <c r="M2" s="2"/>
      <c r="N2" s="2"/>
      <c r="O2" s="2"/>
      <c r="Q2" s="2"/>
      <c r="R2" s="2">
        <f>COUNTA(C7,C8,C9,C10,C11,C12)</f>
        <v>6</v>
      </c>
      <c r="S2" s="2">
        <f>COUNTIFS(B:B,C7,C:C,C8)</f>
        <v>1</v>
      </c>
      <c r="T2" s="2"/>
      <c r="U2" s="2"/>
      <c r="V2" s="2"/>
      <c r="W2" s="2"/>
      <c r="X2" s="2"/>
      <c r="Y2" s="3"/>
      <c r="Z2" s="2"/>
      <c r="AA2" s="2"/>
      <c r="AB2" s="2"/>
      <c r="AC2" s="2"/>
      <c r="AD2" s="2"/>
      <c r="AE2" s="2"/>
      <c r="AF2" s="2"/>
      <c r="AG2" s="2"/>
      <c r="AH2" s="2"/>
      <c r="AI2" s="2"/>
    </row>
    <row r="3" spans="1:35" ht="21" x14ac:dyDescent="0.6">
      <c r="A3" s="133"/>
      <c r="B3" s="132"/>
      <c r="C3" s="207" t="s">
        <v>650</v>
      </c>
      <c r="D3" s="207"/>
      <c r="E3" s="207"/>
      <c r="F3" s="207"/>
      <c r="G3" s="207"/>
      <c r="H3" s="129"/>
      <c r="I3" s="134"/>
      <c r="J3" s="137"/>
      <c r="K3" s="133"/>
      <c r="L3" s="2"/>
      <c r="M3" s="2"/>
      <c r="N3" s="2"/>
      <c r="O3" s="2"/>
      <c r="P3" s="2"/>
      <c r="Q3" s="2"/>
      <c r="R3" s="2" t="s">
        <v>282</v>
      </c>
      <c r="S3" s="2" t="s">
        <v>284</v>
      </c>
      <c r="T3" s="2" t="s">
        <v>285</v>
      </c>
      <c r="U3" s="2"/>
      <c r="V3" s="2"/>
      <c r="W3" s="2"/>
      <c r="X3" s="2"/>
      <c r="Y3" s="3"/>
      <c r="Z3" s="2"/>
      <c r="AA3" s="2" t="s">
        <v>427</v>
      </c>
      <c r="AB3" s="2"/>
      <c r="AC3" s="2"/>
      <c r="AD3" s="2"/>
      <c r="AE3" s="2"/>
      <c r="AF3" s="2"/>
      <c r="AG3" s="2"/>
      <c r="AH3" s="2"/>
      <c r="AI3" s="2"/>
    </row>
    <row r="4" spans="1:35" ht="16.5" x14ac:dyDescent="0.5">
      <c r="A4" s="133"/>
      <c r="B4" s="132"/>
      <c r="C4" s="138" t="s">
        <v>464</v>
      </c>
      <c r="D4" s="138"/>
      <c r="E4" s="139"/>
      <c r="F4" s="133"/>
      <c r="G4" s="134"/>
      <c r="H4" s="128"/>
      <c r="I4" s="134"/>
      <c r="J4" s="136"/>
      <c r="K4" s="133"/>
      <c r="R4">
        <f>IF(C10="SI",1,0)</f>
        <v>0</v>
      </c>
      <c r="S4">
        <f>IF(C11&lt;=10,1,0)</f>
        <v>0</v>
      </c>
      <c r="T4">
        <f>IF(OR(C12="I",C12="II",C12="III"),1,0)</f>
        <v>1</v>
      </c>
      <c r="U4">
        <f>SUM(R4:T4)</f>
        <v>1</v>
      </c>
      <c r="V4" t="str">
        <f>IF(U4=3,"Art 7","")</f>
        <v/>
      </c>
      <c r="W4">
        <v>3</v>
      </c>
      <c r="X4" t="s">
        <v>291</v>
      </c>
      <c r="Y4">
        <v>7</v>
      </c>
      <c r="Z4">
        <v>1</v>
      </c>
      <c r="AA4">
        <v>5</v>
      </c>
      <c r="AB4">
        <v>3</v>
      </c>
    </row>
    <row r="5" spans="1:35" ht="18" customHeight="1" x14ac:dyDescent="0.55000000000000004">
      <c r="A5" s="133"/>
      <c r="B5" s="140"/>
      <c r="C5" s="141" t="s">
        <v>465</v>
      </c>
      <c r="D5" s="140"/>
      <c r="E5" s="140"/>
      <c r="F5" s="140"/>
      <c r="G5" s="134"/>
      <c r="H5" s="134"/>
      <c r="I5" s="134"/>
      <c r="J5" s="136"/>
      <c r="K5" s="133"/>
      <c r="R5" s="2" t="s">
        <v>107</v>
      </c>
      <c r="S5" s="2" t="s">
        <v>284</v>
      </c>
      <c r="T5" s="2" t="s">
        <v>285</v>
      </c>
      <c r="W5">
        <v>7</v>
      </c>
      <c r="X5" t="s">
        <v>290</v>
      </c>
      <c r="Y5">
        <v>3</v>
      </c>
      <c r="Z5">
        <v>3</v>
      </c>
      <c r="AA5">
        <v>11</v>
      </c>
      <c r="AB5">
        <v>7</v>
      </c>
    </row>
    <row r="6" spans="1:35" ht="3" customHeight="1" thickBot="1" x14ac:dyDescent="0.55000000000000004">
      <c r="A6" s="133"/>
      <c r="B6" s="133"/>
      <c r="C6" s="133"/>
      <c r="D6" s="133"/>
      <c r="E6" s="133"/>
      <c r="F6" s="133"/>
      <c r="G6" s="134"/>
      <c r="H6" s="134"/>
      <c r="I6" s="134"/>
      <c r="J6" s="136"/>
      <c r="K6" s="133"/>
      <c r="R6">
        <f>IF(C10="NO",1,0)</f>
        <v>1</v>
      </c>
      <c r="S6">
        <f>IF(C11&lt;=10,1,0)</f>
        <v>0</v>
      </c>
      <c r="T6">
        <f>IF(OR(C12="I",C12="II",C12="III"),1,0)</f>
        <v>1</v>
      </c>
      <c r="U6">
        <f>SUM(R6:T6)</f>
        <v>2</v>
      </c>
      <c r="V6" t="str">
        <f>IF(U6=3,"Art 3","")</f>
        <v/>
      </c>
      <c r="W6">
        <v>9</v>
      </c>
      <c r="X6" t="s">
        <v>292</v>
      </c>
      <c r="Y6">
        <v>21</v>
      </c>
      <c r="Z6">
        <v>5</v>
      </c>
      <c r="AA6">
        <v>8</v>
      </c>
      <c r="AB6">
        <v>9</v>
      </c>
    </row>
    <row r="7" spans="1:35" ht="17" thickBot="1" x14ac:dyDescent="0.55000000000000004">
      <c r="A7" s="133"/>
      <c r="B7" s="150" t="s">
        <v>508</v>
      </c>
      <c r="C7" s="151">
        <v>45449</v>
      </c>
      <c r="D7" s="133"/>
      <c r="E7" s="221" t="s">
        <v>537</v>
      </c>
      <c r="F7" s="221"/>
      <c r="G7" s="216" t="s">
        <v>509</v>
      </c>
      <c r="H7" s="216"/>
      <c r="I7" s="217"/>
      <c r="J7" s="136"/>
      <c r="K7" s="133"/>
      <c r="Q7" s="170">
        <f>IF(C7="",1,7)</f>
        <v>7</v>
      </c>
      <c r="S7" t="s">
        <v>286</v>
      </c>
      <c r="T7" s="2" t="s">
        <v>285</v>
      </c>
      <c r="W7">
        <v>16</v>
      </c>
      <c r="X7" t="s">
        <v>495</v>
      </c>
      <c r="Y7">
        <v>60</v>
      </c>
      <c r="Z7">
        <v>7</v>
      </c>
      <c r="AA7">
        <v>2</v>
      </c>
      <c r="AB7">
        <v>16</v>
      </c>
    </row>
    <row r="8" spans="1:35" ht="17" thickBot="1" x14ac:dyDescent="0.55000000000000004">
      <c r="A8"/>
      <c r="B8" s="150" t="s">
        <v>273</v>
      </c>
      <c r="C8" s="212" t="s">
        <v>655</v>
      </c>
      <c r="D8" s="213"/>
      <c r="E8" s="224" t="s">
        <v>683</v>
      </c>
      <c r="F8" s="225"/>
      <c r="G8" s="218" t="str">
        <f>"Resolución 0312/2019,  "&amp; V12</f>
        <v>Resolución 0312/2019,  Art 16</v>
      </c>
      <c r="H8" s="218"/>
      <c r="I8" s="219"/>
      <c r="Q8" s="92">
        <f>IF(C8="",2,7)</f>
        <v>7</v>
      </c>
      <c r="S8">
        <f>IF(AND(C11&gt;10,C11&lt;=50),1,0)</f>
        <v>0</v>
      </c>
      <c r="T8">
        <f>IF(OR(C12="I",C12="II",C12="III"),1,0)</f>
        <v>1</v>
      </c>
      <c r="U8">
        <f>SUM(R8:T8)</f>
        <v>1</v>
      </c>
      <c r="V8" t="str">
        <f>IF(U8=2,"Art 9","")</f>
        <v/>
      </c>
    </row>
    <row r="9" spans="1:35" ht="17" thickBot="1" x14ac:dyDescent="0.55000000000000004">
      <c r="A9"/>
      <c r="B9" s="150" t="s">
        <v>278</v>
      </c>
      <c r="C9" s="214" t="s">
        <v>656</v>
      </c>
      <c r="D9" s="215"/>
      <c r="E9" s="222" t="s">
        <v>455</v>
      </c>
      <c r="F9" s="223"/>
      <c r="G9" s="220" t="s">
        <v>289</v>
      </c>
      <c r="H9" s="220"/>
      <c r="I9" s="142">
        <f>IFERROR(VLOOKUP(V12,X4:Y7,2,0),"")</f>
        <v>60</v>
      </c>
      <c r="Q9" s="92">
        <f>IF(C9="",3,7)</f>
        <v>7</v>
      </c>
      <c r="S9" t="s">
        <v>287</v>
      </c>
      <c r="T9" t="s">
        <v>288</v>
      </c>
    </row>
    <row r="10" spans="1:35" ht="17" thickBot="1" x14ac:dyDescent="0.55000000000000004">
      <c r="A10"/>
      <c r="B10" s="150" t="s">
        <v>283</v>
      </c>
      <c r="C10" s="152" t="s">
        <v>649</v>
      </c>
      <c r="D10" s="133"/>
      <c r="E10" s="226" t="s">
        <v>683</v>
      </c>
      <c r="F10" s="227"/>
      <c r="G10" s="134"/>
      <c r="H10" s="134"/>
      <c r="I10" s="134"/>
      <c r="Q10" s="92">
        <f>IF(C10="",4,7)</f>
        <v>7</v>
      </c>
      <c r="S10">
        <f>IF(C11&gt;50,1,0)</f>
        <v>1</v>
      </c>
      <c r="T10">
        <f>IF(OR(C12="IV",C12="V"),1,0)</f>
        <v>0</v>
      </c>
      <c r="U10">
        <f>SUM(R10:T10)</f>
        <v>1</v>
      </c>
      <c r="V10" t="str">
        <f>IF(U10&gt;=1,"Art 16","")</f>
        <v>Art 16</v>
      </c>
    </row>
    <row r="11" spans="1:35" ht="17" thickBot="1" x14ac:dyDescent="0.55000000000000004">
      <c r="A11"/>
      <c r="B11" s="150" t="s">
        <v>132</v>
      </c>
      <c r="C11" s="152">
        <v>216</v>
      </c>
      <c r="D11" s="133"/>
      <c r="E11" s="133"/>
      <c r="F11" s="133"/>
      <c r="G11" s="134"/>
      <c r="H11" s="134"/>
      <c r="I11" s="134"/>
      <c r="Q11" s="92">
        <f>IF(C11="",5,7)</f>
        <v>7</v>
      </c>
      <c r="W11" t="s">
        <v>293</v>
      </c>
      <c r="X11" t="s">
        <v>433</v>
      </c>
    </row>
    <row r="12" spans="1:35" ht="17" thickBot="1" x14ac:dyDescent="0.55000000000000004">
      <c r="A12"/>
      <c r="B12" s="150" t="s">
        <v>133</v>
      </c>
      <c r="C12" s="152" t="s">
        <v>653</v>
      </c>
      <c r="D12" s="133"/>
      <c r="E12" s="133"/>
      <c r="F12" s="133"/>
      <c r="G12" s="134"/>
      <c r="H12" s="134"/>
      <c r="I12" s="134"/>
      <c r="Q12" s="92">
        <f>IF(C12="",6,7)</f>
        <v>7</v>
      </c>
      <c r="V12" t="str">
        <f>V4&amp;V6&amp;V8&amp;V10</f>
        <v>Art 16</v>
      </c>
      <c r="W12">
        <f>VLOOKUP(V12,X4:Z7,3,0)</f>
        <v>7</v>
      </c>
      <c r="X12">
        <f>VLOOKUP(V12,X4:AA7,4,0)</f>
        <v>2</v>
      </c>
    </row>
    <row r="13" spans="1:35" ht="15" thickBot="1" x14ac:dyDescent="0.4">
      <c r="A13"/>
      <c r="Q13" s="170">
        <f>MIN(Q7:Q12)</f>
        <v>7</v>
      </c>
      <c r="V13">
        <f>VLOOKUP(V12,X4:AB7,5,0)</f>
        <v>16</v>
      </c>
    </row>
    <row r="14" spans="1:35" ht="14.5" x14ac:dyDescent="0.35">
      <c r="A14"/>
    </row>
    <row r="15" spans="1:35" ht="14.5" x14ac:dyDescent="0.35">
      <c r="A15"/>
    </row>
    <row r="16" spans="1:35" ht="14.5" x14ac:dyDescent="0.35">
      <c r="A16"/>
    </row>
    <row r="17" spans="1:17" ht="14.5" x14ac:dyDescent="0.35">
      <c r="A17"/>
    </row>
    <row r="18" spans="1:17" ht="15.75" customHeight="1" x14ac:dyDescent="0.5">
      <c r="A18" s="97"/>
      <c r="B18" s="145">
        <v>1</v>
      </c>
      <c r="C18" s="144" t="s">
        <v>274</v>
      </c>
      <c r="D18" s="143"/>
      <c r="E18" s="231" t="s">
        <v>529</v>
      </c>
      <c r="F18" s="231" t="s">
        <v>539</v>
      </c>
      <c r="G18" s="228" t="s">
        <v>530</v>
      </c>
      <c r="H18" s="229"/>
      <c r="I18" s="229"/>
      <c r="J18" s="230"/>
    </row>
    <row r="19" spans="1:17" ht="45" x14ac:dyDescent="0.5">
      <c r="A19" s="97" t="s">
        <v>436</v>
      </c>
      <c r="B19" s="148" t="s">
        <v>508</v>
      </c>
      <c r="C19" s="208" t="s">
        <v>107</v>
      </c>
      <c r="D19" s="209"/>
      <c r="E19" s="232"/>
      <c r="F19" s="232"/>
      <c r="G19" s="146" t="s">
        <v>531</v>
      </c>
      <c r="H19" s="146" t="s">
        <v>528</v>
      </c>
      <c r="I19" s="146" t="s">
        <v>449</v>
      </c>
      <c r="J19" s="147" t="s">
        <v>448</v>
      </c>
      <c r="K19" s="162" t="str">
        <f ca="1">IF($A$1&gt;$Q$19,"Fecha límite para enviar plan de mejoramiento a Colmena ARL","")</f>
        <v>Fecha límite para enviar plan de mejoramiento a Colmena ARL</v>
      </c>
      <c r="Q19" s="73">
        <v>43831</v>
      </c>
    </row>
    <row r="20" spans="1:17" x14ac:dyDescent="0.35">
      <c r="A20" s="98">
        <v>1</v>
      </c>
      <c r="B20" s="95">
        <v>45449</v>
      </c>
      <c r="C20" s="210" t="s">
        <v>655</v>
      </c>
      <c r="D20" s="211"/>
      <c r="E20" s="96">
        <v>38</v>
      </c>
      <c r="F20" s="96">
        <v>38</v>
      </c>
      <c r="G20" s="100" t="s">
        <v>685</v>
      </c>
      <c r="H20" s="100">
        <f>COUNTIF(PlanMej!D:D,Mnu!A20)</f>
        <v>32</v>
      </c>
      <c r="I20" s="100">
        <f>COUNTIFS(PlanMej!D:D,Mnu!A20,PlanMej!S:S,"Realizada")</f>
        <v>0</v>
      </c>
      <c r="J20" s="101">
        <f>IFERROR(I20/H20,0)</f>
        <v>0</v>
      </c>
      <c r="K20" s="163">
        <f ca="1">IF(AND(C20&lt;&gt;"",$A$1&gt;$Q$19),Q20,"")</f>
        <v>45539</v>
      </c>
      <c r="Q20">
        <f>IF(E20&lt;60,B20+90,IF(E20&lt;=85,B20+180,""))</f>
        <v>45539</v>
      </c>
    </row>
    <row r="21" spans="1:17" x14ac:dyDescent="0.35">
      <c r="B21" s="95"/>
      <c r="C21" s="210"/>
      <c r="D21" s="211"/>
      <c r="E21" s="96"/>
      <c r="F21" s="96"/>
      <c r="G21" s="100"/>
      <c r="H21" s="100"/>
      <c r="I21" s="100"/>
      <c r="J21" s="101"/>
      <c r="K21" s="163" t="str">
        <f t="shared" ref="K21:K84" ca="1" si="0">IF(AND(C21&lt;&gt;"",$A$1&gt;$Q$19),Q21,"")</f>
        <v/>
      </c>
      <c r="Q21">
        <f t="shared" ref="Q21:Q27" si="1">IF(E21&lt;60,B21+90,IF(E21&lt;=85,B21+180,""))</f>
        <v>90</v>
      </c>
    </row>
    <row r="22" spans="1:17" x14ac:dyDescent="0.35">
      <c r="B22" s="95"/>
      <c r="C22" s="210"/>
      <c r="D22" s="211"/>
      <c r="E22" s="96"/>
      <c r="F22" s="96"/>
      <c r="G22" s="100"/>
      <c r="H22" s="100"/>
      <c r="I22" s="100"/>
      <c r="J22" s="101"/>
      <c r="K22" s="163" t="str">
        <f t="shared" ca="1" si="0"/>
        <v/>
      </c>
      <c r="Q22">
        <f t="shared" si="1"/>
        <v>90</v>
      </c>
    </row>
    <row r="23" spans="1:17" x14ac:dyDescent="0.35">
      <c r="B23" s="95"/>
      <c r="C23" s="210"/>
      <c r="D23" s="211"/>
      <c r="E23" s="96"/>
      <c r="F23" s="96"/>
      <c r="G23" s="100"/>
      <c r="H23" s="100"/>
      <c r="I23" s="100"/>
      <c r="J23" s="101"/>
      <c r="K23" s="163" t="str">
        <f t="shared" ca="1" si="0"/>
        <v/>
      </c>
      <c r="Q23">
        <f t="shared" si="1"/>
        <v>90</v>
      </c>
    </row>
    <row r="24" spans="1:17" x14ac:dyDescent="0.35">
      <c r="B24" s="95"/>
      <c r="C24" s="210"/>
      <c r="D24" s="211"/>
      <c r="E24" s="96"/>
      <c r="F24" s="96"/>
      <c r="G24" s="100"/>
      <c r="H24" s="100"/>
      <c r="I24" s="100"/>
      <c r="J24" s="101"/>
      <c r="K24" s="163" t="str">
        <f t="shared" ca="1" si="0"/>
        <v/>
      </c>
      <c r="Q24">
        <f t="shared" si="1"/>
        <v>90</v>
      </c>
    </row>
    <row r="25" spans="1:17" x14ac:dyDescent="0.35">
      <c r="B25" s="95"/>
      <c r="C25" s="210"/>
      <c r="D25" s="211"/>
      <c r="E25" s="96"/>
      <c r="F25" s="96"/>
      <c r="G25" s="100"/>
      <c r="H25" s="100"/>
      <c r="I25" s="100"/>
      <c r="J25" s="101"/>
      <c r="K25" s="163" t="str">
        <f t="shared" ca="1" si="0"/>
        <v/>
      </c>
      <c r="Q25">
        <f t="shared" si="1"/>
        <v>90</v>
      </c>
    </row>
    <row r="26" spans="1:17" x14ac:dyDescent="0.35">
      <c r="B26" s="95"/>
      <c r="C26" s="210"/>
      <c r="D26" s="211"/>
      <c r="E26" s="96"/>
      <c r="F26" s="96"/>
      <c r="G26" s="100"/>
      <c r="H26" s="100"/>
      <c r="I26" s="100"/>
      <c r="J26" s="101"/>
      <c r="K26" s="163" t="str">
        <f t="shared" ca="1" si="0"/>
        <v/>
      </c>
      <c r="Q26">
        <f t="shared" si="1"/>
        <v>90</v>
      </c>
    </row>
    <row r="27" spans="1:17" x14ac:dyDescent="0.35">
      <c r="B27" s="95"/>
      <c r="C27" s="210"/>
      <c r="D27" s="211"/>
      <c r="E27" s="96"/>
      <c r="F27" s="96"/>
      <c r="G27" s="100"/>
      <c r="H27" s="100"/>
      <c r="I27" s="100"/>
      <c r="J27" s="101"/>
      <c r="K27" s="163" t="str">
        <f t="shared" ca="1" si="0"/>
        <v/>
      </c>
      <c r="Q27">
        <f t="shared" si="1"/>
        <v>90</v>
      </c>
    </row>
    <row r="28" spans="1:17" x14ac:dyDescent="0.35">
      <c r="B28" s="95"/>
      <c r="C28" s="210"/>
      <c r="D28" s="211"/>
      <c r="E28" s="96"/>
      <c r="F28" s="96"/>
      <c r="G28" s="100"/>
      <c r="H28" s="100"/>
      <c r="I28" s="100"/>
      <c r="J28" s="101"/>
      <c r="K28" s="163" t="str">
        <f t="shared" ca="1" si="0"/>
        <v/>
      </c>
    </row>
    <row r="29" spans="1:17" x14ac:dyDescent="0.35">
      <c r="B29" s="95"/>
      <c r="C29" s="210"/>
      <c r="D29" s="211"/>
      <c r="E29" s="96"/>
      <c r="F29" s="96"/>
      <c r="G29" s="100"/>
      <c r="H29" s="100"/>
      <c r="I29" s="100"/>
      <c r="J29" s="101"/>
      <c r="K29" s="163" t="str">
        <f t="shared" ca="1" si="0"/>
        <v/>
      </c>
    </row>
    <row r="30" spans="1:17" x14ac:dyDescent="0.35">
      <c r="B30" s="95"/>
      <c r="C30" s="210"/>
      <c r="D30" s="211"/>
      <c r="E30" s="96"/>
      <c r="F30" s="96"/>
      <c r="G30" s="100"/>
      <c r="H30" s="100"/>
      <c r="I30" s="100"/>
      <c r="J30" s="101"/>
      <c r="K30" s="163" t="str">
        <f t="shared" ca="1" si="0"/>
        <v/>
      </c>
    </row>
    <row r="31" spans="1:17" x14ac:dyDescent="0.35">
      <c r="B31" s="95"/>
      <c r="C31" s="210"/>
      <c r="D31" s="211"/>
      <c r="E31" s="96"/>
      <c r="F31" s="96"/>
      <c r="G31" s="100"/>
      <c r="H31" s="100"/>
      <c r="I31" s="100"/>
      <c r="J31" s="101"/>
      <c r="K31" s="163" t="str">
        <f t="shared" ca="1" si="0"/>
        <v/>
      </c>
    </row>
    <row r="32" spans="1:17" x14ac:dyDescent="0.35">
      <c r="B32" s="95"/>
      <c r="C32" s="210"/>
      <c r="D32" s="211"/>
      <c r="E32" s="96"/>
      <c r="F32" s="96"/>
      <c r="G32" s="100"/>
      <c r="H32" s="100"/>
      <c r="I32" s="100"/>
      <c r="J32" s="101"/>
      <c r="K32" s="163" t="str">
        <f t="shared" ca="1" si="0"/>
        <v/>
      </c>
    </row>
    <row r="33" spans="2:11" x14ac:dyDescent="0.35">
      <c r="B33" s="95"/>
      <c r="C33" s="210"/>
      <c r="D33" s="211"/>
      <c r="E33" s="96"/>
      <c r="F33" s="96"/>
      <c r="G33" s="100"/>
      <c r="H33" s="100"/>
      <c r="I33" s="100"/>
      <c r="J33" s="101"/>
      <c r="K33" s="163" t="str">
        <f t="shared" ca="1" si="0"/>
        <v/>
      </c>
    </row>
    <row r="34" spans="2:11" x14ac:dyDescent="0.35">
      <c r="B34" s="95"/>
      <c r="C34" s="210"/>
      <c r="D34" s="211"/>
      <c r="E34" s="96"/>
      <c r="F34" s="96"/>
      <c r="G34" s="100"/>
      <c r="H34" s="100"/>
      <c r="I34" s="100"/>
      <c r="J34" s="101"/>
      <c r="K34" s="163" t="str">
        <f t="shared" ca="1" si="0"/>
        <v/>
      </c>
    </row>
    <row r="35" spans="2:11" x14ac:dyDescent="0.35">
      <c r="B35" s="95"/>
      <c r="C35" s="210"/>
      <c r="D35" s="211"/>
      <c r="E35" s="96"/>
      <c r="F35" s="96"/>
      <c r="G35" s="100"/>
      <c r="H35" s="100"/>
      <c r="I35" s="100"/>
      <c r="J35" s="101"/>
      <c r="K35" s="163" t="str">
        <f t="shared" ca="1" si="0"/>
        <v/>
      </c>
    </row>
    <row r="36" spans="2:11" x14ac:dyDescent="0.35">
      <c r="B36" s="95"/>
      <c r="C36" s="210"/>
      <c r="D36" s="211"/>
      <c r="E36" s="96"/>
      <c r="F36" s="96"/>
      <c r="G36" s="100"/>
      <c r="H36" s="100"/>
      <c r="I36" s="100"/>
      <c r="J36" s="101"/>
      <c r="K36" s="163" t="str">
        <f t="shared" ca="1" si="0"/>
        <v/>
      </c>
    </row>
    <row r="37" spans="2:11" x14ac:dyDescent="0.35">
      <c r="B37" s="95"/>
      <c r="C37" s="210"/>
      <c r="D37" s="211"/>
      <c r="E37" s="96"/>
      <c r="F37" s="96"/>
      <c r="G37" s="100"/>
      <c r="H37" s="100"/>
      <c r="I37" s="100"/>
      <c r="J37" s="101"/>
      <c r="K37" s="163" t="str">
        <f t="shared" ca="1" si="0"/>
        <v/>
      </c>
    </row>
    <row r="38" spans="2:11" x14ac:dyDescent="0.35">
      <c r="B38" s="95"/>
      <c r="C38" s="210"/>
      <c r="D38" s="211"/>
      <c r="E38" s="96"/>
      <c r="F38" s="96"/>
      <c r="G38" s="100"/>
      <c r="H38" s="100"/>
      <c r="I38" s="100"/>
      <c r="J38" s="101"/>
      <c r="K38" s="163" t="str">
        <f t="shared" ca="1" si="0"/>
        <v/>
      </c>
    </row>
    <row r="39" spans="2:11" x14ac:dyDescent="0.35">
      <c r="B39" s="95"/>
      <c r="C39" s="210"/>
      <c r="D39" s="211"/>
      <c r="E39" s="96"/>
      <c r="F39" s="96"/>
      <c r="G39" s="100"/>
      <c r="H39" s="100"/>
      <c r="I39" s="100"/>
      <c r="J39" s="101"/>
      <c r="K39" s="163" t="str">
        <f t="shared" ca="1" si="0"/>
        <v/>
      </c>
    </row>
    <row r="40" spans="2:11" x14ac:dyDescent="0.35">
      <c r="B40" s="95"/>
      <c r="C40" s="210"/>
      <c r="D40" s="211"/>
      <c r="E40" s="96"/>
      <c r="F40" s="96"/>
      <c r="G40" s="100"/>
      <c r="H40" s="100"/>
      <c r="I40" s="100"/>
      <c r="J40" s="101"/>
      <c r="K40" s="163" t="str">
        <f t="shared" ca="1" si="0"/>
        <v/>
      </c>
    </row>
    <row r="41" spans="2:11" x14ac:dyDescent="0.35">
      <c r="B41" s="95"/>
      <c r="C41" s="210"/>
      <c r="D41" s="211"/>
      <c r="E41" s="96"/>
      <c r="F41" s="96"/>
      <c r="G41" s="100"/>
      <c r="H41" s="100"/>
      <c r="I41" s="100"/>
      <c r="J41" s="101"/>
      <c r="K41" s="163" t="str">
        <f t="shared" ca="1" si="0"/>
        <v/>
      </c>
    </row>
    <row r="42" spans="2:11" x14ac:dyDescent="0.35">
      <c r="B42" s="95"/>
      <c r="C42" s="210"/>
      <c r="D42" s="211"/>
      <c r="E42" s="96"/>
      <c r="F42" s="96"/>
      <c r="G42" s="100"/>
      <c r="H42" s="100"/>
      <c r="I42" s="100"/>
      <c r="J42" s="101"/>
      <c r="K42" s="163" t="str">
        <f t="shared" ca="1" si="0"/>
        <v/>
      </c>
    </row>
    <row r="43" spans="2:11" x14ac:dyDescent="0.35">
      <c r="B43" s="95"/>
      <c r="C43" s="210"/>
      <c r="D43" s="211"/>
      <c r="E43" s="96"/>
      <c r="F43" s="96"/>
      <c r="G43" s="100"/>
      <c r="H43" s="100"/>
      <c r="I43" s="100"/>
      <c r="J43" s="101"/>
      <c r="K43" s="163" t="str">
        <f t="shared" ca="1" si="0"/>
        <v/>
      </c>
    </row>
    <row r="44" spans="2:11" x14ac:dyDescent="0.35">
      <c r="B44" s="95"/>
      <c r="C44" s="210"/>
      <c r="D44" s="211"/>
      <c r="E44" s="96"/>
      <c r="F44" s="96"/>
      <c r="G44" s="100"/>
      <c r="H44" s="100"/>
      <c r="I44" s="100"/>
      <c r="J44" s="101"/>
      <c r="K44" s="163" t="str">
        <f t="shared" ca="1" si="0"/>
        <v/>
      </c>
    </row>
    <row r="45" spans="2:11" x14ac:dyDescent="0.35">
      <c r="B45" s="95"/>
      <c r="C45" s="210"/>
      <c r="D45" s="211"/>
      <c r="E45" s="96"/>
      <c r="F45" s="96"/>
      <c r="G45" s="100"/>
      <c r="H45" s="100"/>
      <c r="I45" s="100"/>
      <c r="J45" s="101"/>
      <c r="K45" s="163" t="str">
        <f t="shared" ca="1" si="0"/>
        <v/>
      </c>
    </row>
    <row r="46" spans="2:11" x14ac:dyDescent="0.35">
      <c r="B46" s="95"/>
      <c r="C46" s="210"/>
      <c r="D46" s="211"/>
      <c r="E46" s="96"/>
      <c r="F46" s="96"/>
      <c r="G46" s="100"/>
      <c r="H46" s="100"/>
      <c r="I46" s="100"/>
      <c r="J46" s="101"/>
      <c r="K46" s="163" t="str">
        <f t="shared" ca="1" si="0"/>
        <v/>
      </c>
    </row>
    <row r="47" spans="2:11" x14ac:dyDescent="0.35">
      <c r="B47" s="95"/>
      <c r="C47" s="210"/>
      <c r="D47" s="211"/>
      <c r="E47" s="96"/>
      <c r="F47" s="96"/>
      <c r="G47" s="100"/>
      <c r="H47" s="100"/>
      <c r="I47" s="100"/>
      <c r="J47" s="101"/>
      <c r="K47" s="163" t="str">
        <f t="shared" ca="1" si="0"/>
        <v/>
      </c>
    </row>
    <row r="48" spans="2:11" x14ac:dyDescent="0.35">
      <c r="B48" s="95"/>
      <c r="C48" s="210"/>
      <c r="D48" s="211"/>
      <c r="E48" s="96"/>
      <c r="F48" s="96"/>
      <c r="G48" s="100"/>
      <c r="H48" s="100"/>
      <c r="I48" s="100"/>
      <c r="J48" s="101"/>
      <c r="K48" s="163" t="str">
        <f t="shared" ca="1" si="0"/>
        <v/>
      </c>
    </row>
    <row r="49" spans="2:11" x14ac:dyDescent="0.35">
      <c r="B49" s="95"/>
      <c r="C49" s="210"/>
      <c r="D49" s="211"/>
      <c r="E49" s="96"/>
      <c r="F49" s="96"/>
      <c r="G49" s="100"/>
      <c r="H49" s="100"/>
      <c r="I49" s="100"/>
      <c r="J49" s="101"/>
      <c r="K49" s="163" t="str">
        <f t="shared" ca="1" si="0"/>
        <v/>
      </c>
    </row>
    <row r="50" spans="2:11" x14ac:dyDescent="0.35">
      <c r="B50" s="95"/>
      <c r="C50" s="210"/>
      <c r="D50" s="211"/>
      <c r="E50" s="96"/>
      <c r="F50" s="96"/>
      <c r="G50" s="100"/>
      <c r="H50" s="100"/>
      <c r="I50" s="100"/>
      <c r="J50" s="101"/>
      <c r="K50" s="163" t="str">
        <f t="shared" ca="1" si="0"/>
        <v/>
      </c>
    </row>
    <row r="51" spans="2:11" x14ac:dyDescent="0.35">
      <c r="B51" s="95"/>
      <c r="C51" s="210"/>
      <c r="D51" s="211"/>
      <c r="E51" s="96"/>
      <c r="F51" s="96"/>
      <c r="G51" s="100"/>
      <c r="H51" s="100"/>
      <c r="I51" s="100"/>
      <c r="J51" s="101"/>
      <c r="K51" s="163" t="str">
        <f t="shared" ca="1" si="0"/>
        <v/>
      </c>
    </row>
    <row r="52" spans="2:11" x14ac:dyDescent="0.35">
      <c r="B52" s="95"/>
      <c r="C52" s="210"/>
      <c r="D52" s="211"/>
      <c r="E52" s="96"/>
      <c r="F52" s="96"/>
      <c r="G52" s="100"/>
      <c r="H52" s="100"/>
      <c r="I52" s="100"/>
      <c r="J52" s="101"/>
      <c r="K52" s="163" t="str">
        <f t="shared" ca="1" si="0"/>
        <v/>
      </c>
    </row>
    <row r="53" spans="2:11" x14ac:dyDescent="0.35">
      <c r="B53" s="95"/>
      <c r="C53" s="210"/>
      <c r="D53" s="211"/>
      <c r="E53" s="96"/>
      <c r="F53" s="96"/>
      <c r="G53" s="100"/>
      <c r="H53" s="100"/>
      <c r="I53" s="100"/>
      <c r="J53" s="101"/>
      <c r="K53" s="163" t="str">
        <f t="shared" ca="1" si="0"/>
        <v/>
      </c>
    </row>
    <row r="54" spans="2:11" x14ac:dyDescent="0.35">
      <c r="B54" s="95"/>
      <c r="C54" s="210"/>
      <c r="D54" s="211"/>
      <c r="E54" s="96"/>
      <c r="F54" s="96"/>
      <c r="G54" s="100"/>
      <c r="H54" s="100"/>
      <c r="I54" s="100"/>
      <c r="J54" s="101"/>
      <c r="K54" s="163" t="str">
        <f t="shared" ca="1" si="0"/>
        <v/>
      </c>
    </row>
    <row r="55" spans="2:11" x14ac:dyDescent="0.35">
      <c r="B55" s="95"/>
      <c r="C55" s="210"/>
      <c r="D55" s="211"/>
      <c r="E55" s="96"/>
      <c r="F55" s="96"/>
      <c r="G55" s="100"/>
      <c r="H55" s="100"/>
      <c r="I55" s="100"/>
      <c r="J55" s="101"/>
      <c r="K55" s="163" t="str">
        <f t="shared" ca="1" si="0"/>
        <v/>
      </c>
    </row>
    <row r="56" spans="2:11" x14ac:dyDescent="0.35">
      <c r="B56" s="95"/>
      <c r="C56" s="210"/>
      <c r="D56" s="211"/>
      <c r="E56" s="96"/>
      <c r="F56" s="96"/>
      <c r="G56" s="100"/>
      <c r="H56" s="100"/>
      <c r="I56" s="100"/>
      <c r="J56" s="101"/>
      <c r="K56" s="163" t="str">
        <f t="shared" ca="1" si="0"/>
        <v/>
      </c>
    </row>
    <row r="57" spans="2:11" x14ac:dyDescent="0.35">
      <c r="B57" s="95"/>
      <c r="C57" s="210"/>
      <c r="D57" s="211"/>
      <c r="E57" s="96"/>
      <c r="F57" s="96"/>
      <c r="G57" s="100"/>
      <c r="H57" s="100"/>
      <c r="I57" s="100"/>
      <c r="J57" s="101"/>
      <c r="K57" s="163" t="str">
        <f t="shared" ca="1" si="0"/>
        <v/>
      </c>
    </row>
    <row r="58" spans="2:11" x14ac:dyDescent="0.35">
      <c r="B58" s="95"/>
      <c r="C58" s="210"/>
      <c r="D58" s="211"/>
      <c r="E58" s="96"/>
      <c r="F58" s="96"/>
      <c r="G58" s="100"/>
      <c r="H58" s="100"/>
      <c r="I58" s="100"/>
      <c r="J58" s="101"/>
      <c r="K58" s="163" t="str">
        <f t="shared" ca="1" si="0"/>
        <v/>
      </c>
    </row>
    <row r="59" spans="2:11" x14ac:dyDescent="0.35">
      <c r="B59" s="95"/>
      <c r="C59" s="210"/>
      <c r="D59" s="211"/>
      <c r="E59" s="96"/>
      <c r="F59" s="96"/>
      <c r="G59" s="100"/>
      <c r="H59" s="100"/>
      <c r="I59" s="100"/>
      <c r="J59" s="101"/>
      <c r="K59" s="163" t="str">
        <f t="shared" ca="1" si="0"/>
        <v/>
      </c>
    </row>
    <row r="60" spans="2:11" x14ac:dyDescent="0.35">
      <c r="B60" s="95"/>
      <c r="C60" s="210"/>
      <c r="D60" s="211"/>
      <c r="E60" s="96"/>
      <c r="F60" s="96"/>
      <c r="G60" s="100"/>
      <c r="H60" s="100"/>
      <c r="I60" s="100"/>
      <c r="J60" s="101"/>
      <c r="K60" s="163" t="str">
        <f t="shared" ca="1" si="0"/>
        <v/>
      </c>
    </row>
    <row r="61" spans="2:11" x14ac:dyDescent="0.35">
      <c r="B61" s="95"/>
      <c r="C61" s="210"/>
      <c r="D61" s="211"/>
      <c r="E61" s="96"/>
      <c r="F61" s="96"/>
      <c r="G61" s="100"/>
      <c r="H61" s="100"/>
      <c r="I61" s="100"/>
      <c r="J61" s="101"/>
      <c r="K61" s="163" t="str">
        <f t="shared" ca="1" si="0"/>
        <v/>
      </c>
    </row>
    <row r="62" spans="2:11" x14ac:dyDescent="0.35">
      <c r="B62" s="95"/>
      <c r="C62" s="210"/>
      <c r="D62" s="211"/>
      <c r="E62" s="96"/>
      <c r="F62" s="96"/>
      <c r="G62" s="100"/>
      <c r="H62" s="100"/>
      <c r="I62" s="100"/>
      <c r="J62" s="101"/>
      <c r="K62" s="163" t="str">
        <f t="shared" ca="1" si="0"/>
        <v/>
      </c>
    </row>
    <row r="63" spans="2:11" x14ac:dyDescent="0.35">
      <c r="B63" s="95"/>
      <c r="C63" s="210"/>
      <c r="D63" s="211"/>
      <c r="E63" s="96"/>
      <c r="F63" s="96"/>
      <c r="G63" s="100"/>
      <c r="H63" s="100"/>
      <c r="I63" s="100"/>
      <c r="J63" s="101"/>
      <c r="K63" s="163" t="str">
        <f t="shared" ca="1" si="0"/>
        <v/>
      </c>
    </row>
    <row r="64" spans="2:11" x14ac:dyDescent="0.35">
      <c r="B64" s="95"/>
      <c r="C64" s="210"/>
      <c r="D64" s="211"/>
      <c r="E64" s="96"/>
      <c r="F64" s="96"/>
      <c r="G64" s="100"/>
      <c r="H64" s="100"/>
      <c r="I64" s="100"/>
      <c r="J64" s="101"/>
      <c r="K64" s="163" t="str">
        <f t="shared" ca="1" si="0"/>
        <v/>
      </c>
    </row>
    <row r="65" spans="2:11" x14ac:dyDescent="0.35">
      <c r="B65" s="95"/>
      <c r="C65" s="210"/>
      <c r="D65" s="211"/>
      <c r="E65" s="96"/>
      <c r="F65" s="96"/>
      <c r="G65" s="100"/>
      <c r="H65" s="100"/>
      <c r="I65" s="100"/>
      <c r="J65" s="101"/>
      <c r="K65" s="163" t="str">
        <f t="shared" ca="1" si="0"/>
        <v/>
      </c>
    </row>
    <row r="66" spans="2:11" x14ac:dyDescent="0.35">
      <c r="B66" s="95"/>
      <c r="C66" s="210"/>
      <c r="D66" s="211"/>
      <c r="E66" s="96"/>
      <c r="F66" s="96"/>
      <c r="G66" s="100"/>
      <c r="H66" s="100"/>
      <c r="I66" s="100"/>
      <c r="J66" s="101"/>
      <c r="K66" s="163" t="str">
        <f t="shared" ca="1" si="0"/>
        <v/>
      </c>
    </row>
    <row r="67" spans="2:11" x14ac:dyDescent="0.35">
      <c r="B67" s="95"/>
      <c r="C67" s="210"/>
      <c r="D67" s="211"/>
      <c r="E67" s="96"/>
      <c r="F67" s="96"/>
      <c r="G67" s="100"/>
      <c r="H67" s="100"/>
      <c r="I67" s="100"/>
      <c r="J67" s="101"/>
      <c r="K67" s="163" t="str">
        <f t="shared" ca="1" si="0"/>
        <v/>
      </c>
    </row>
    <row r="68" spans="2:11" x14ac:dyDescent="0.35">
      <c r="B68" s="95"/>
      <c r="C68" s="210"/>
      <c r="D68" s="211"/>
      <c r="E68" s="96"/>
      <c r="F68" s="96"/>
      <c r="G68" s="100"/>
      <c r="H68" s="100"/>
      <c r="I68" s="100"/>
      <c r="J68" s="101"/>
      <c r="K68" s="163" t="str">
        <f t="shared" ca="1" si="0"/>
        <v/>
      </c>
    </row>
    <row r="69" spans="2:11" x14ac:dyDescent="0.35">
      <c r="B69" s="95"/>
      <c r="C69" s="210"/>
      <c r="D69" s="211"/>
      <c r="E69" s="96"/>
      <c r="F69" s="96"/>
      <c r="G69" s="100"/>
      <c r="H69" s="100"/>
      <c r="I69" s="100"/>
      <c r="J69" s="101"/>
      <c r="K69" s="163" t="str">
        <f t="shared" ca="1" si="0"/>
        <v/>
      </c>
    </row>
    <row r="70" spans="2:11" x14ac:dyDescent="0.35">
      <c r="B70" s="95"/>
      <c r="C70" s="210"/>
      <c r="D70" s="211"/>
      <c r="E70" s="96"/>
      <c r="F70" s="96"/>
      <c r="G70" s="100"/>
      <c r="H70" s="100"/>
      <c r="I70" s="100"/>
      <c r="J70" s="101"/>
      <c r="K70" s="163" t="str">
        <f t="shared" ca="1" si="0"/>
        <v/>
      </c>
    </row>
    <row r="71" spans="2:11" x14ac:dyDescent="0.35">
      <c r="B71" s="95"/>
      <c r="C71" s="210"/>
      <c r="D71" s="211"/>
      <c r="E71" s="96"/>
      <c r="F71" s="96"/>
      <c r="G71" s="100"/>
      <c r="H71" s="100"/>
      <c r="I71" s="100"/>
      <c r="J71" s="101"/>
      <c r="K71" s="163" t="str">
        <f t="shared" ca="1" si="0"/>
        <v/>
      </c>
    </row>
    <row r="72" spans="2:11" x14ac:dyDescent="0.35">
      <c r="B72" s="95"/>
      <c r="C72" s="210"/>
      <c r="D72" s="211"/>
      <c r="E72" s="96"/>
      <c r="F72" s="96"/>
      <c r="G72" s="100"/>
      <c r="H72" s="100"/>
      <c r="I72" s="100"/>
      <c r="J72" s="101"/>
      <c r="K72" s="163" t="str">
        <f t="shared" ca="1" si="0"/>
        <v/>
      </c>
    </row>
    <row r="73" spans="2:11" x14ac:dyDescent="0.35">
      <c r="B73" s="95"/>
      <c r="C73" s="210"/>
      <c r="D73" s="211"/>
      <c r="E73" s="96"/>
      <c r="F73" s="96"/>
      <c r="G73" s="100"/>
      <c r="H73" s="100"/>
      <c r="I73" s="100"/>
      <c r="J73" s="101"/>
      <c r="K73" s="163" t="str">
        <f t="shared" ca="1" si="0"/>
        <v/>
      </c>
    </row>
    <row r="74" spans="2:11" x14ac:dyDescent="0.35">
      <c r="B74" s="95"/>
      <c r="C74" s="210"/>
      <c r="D74" s="211"/>
      <c r="E74" s="96"/>
      <c r="F74" s="96"/>
      <c r="G74" s="100"/>
      <c r="H74" s="100"/>
      <c r="I74" s="100"/>
      <c r="J74" s="101"/>
      <c r="K74" s="163" t="str">
        <f t="shared" ca="1" si="0"/>
        <v/>
      </c>
    </row>
    <row r="75" spans="2:11" x14ac:dyDescent="0.35">
      <c r="B75" s="95"/>
      <c r="C75" s="210"/>
      <c r="D75" s="211"/>
      <c r="E75" s="96"/>
      <c r="F75" s="96"/>
      <c r="G75" s="100"/>
      <c r="H75" s="100"/>
      <c r="I75" s="100"/>
      <c r="J75" s="101"/>
      <c r="K75" s="163" t="str">
        <f t="shared" ca="1" si="0"/>
        <v/>
      </c>
    </row>
    <row r="76" spans="2:11" x14ac:dyDescent="0.35">
      <c r="B76" s="95"/>
      <c r="C76" s="210"/>
      <c r="D76" s="211"/>
      <c r="E76" s="96"/>
      <c r="F76" s="96"/>
      <c r="G76" s="100"/>
      <c r="H76" s="100"/>
      <c r="I76" s="100"/>
      <c r="J76" s="101"/>
      <c r="K76" s="163" t="str">
        <f t="shared" ca="1" si="0"/>
        <v/>
      </c>
    </row>
    <row r="77" spans="2:11" x14ac:dyDescent="0.35">
      <c r="B77" s="95"/>
      <c r="C77" s="210"/>
      <c r="D77" s="211"/>
      <c r="E77" s="96"/>
      <c r="F77" s="96"/>
      <c r="G77" s="100"/>
      <c r="H77" s="100"/>
      <c r="I77" s="100"/>
      <c r="J77" s="101"/>
      <c r="K77" s="163" t="str">
        <f t="shared" ca="1" si="0"/>
        <v/>
      </c>
    </row>
    <row r="78" spans="2:11" x14ac:dyDescent="0.35">
      <c r="B78" s="95"/>
      <c r="C78" s="210"/>
      <c r="D78" s="211"/>
      <c r="E78" s="96"/>
      <c r="F78" s="96"/>
      <c r="G78" s="100"/>
      <c r="H78" s="100"/>
      <c r="I78" s="100"/>
      <c r="J78" s="101"/>
      <c r="K78" s="163" t="str">
        <f t="shared" ca="1" si="0"/>
        <v/>
      </c>
    </row>
    <row r="79" spans="2:11" x14ac:dyDescent="0.35">
      <c r="B79" s="95"/>
      <c r="C79" s="210"/>
      <c r="D79" s="211"/>
      <c r="E79" s="96"/>
      <c r="F79" s="96"/>
      <c r="G79" s="100"/>
      <c r="H79" s="100"/>
      <c r="I79" s="100"/>
      <c r="J79" s="101"/>
      <c r="K79" s="163" t="str">
        <f t="shared" ca="1" si="0"/>
        <v/>
      </c>
    </row>
    <row r="80" spans="2:11" x14ac:dyDescent="0.35">
      <c r="B80" s="95"/>
      <c r="C80" s="210"/>
      <c r="D80" s="211"/>
      <c r="E80" s="96"/>
      <c r="F80" s="96"/>
      <c r="G80" s="100"/>
      <c r="H80" s="100"/>
      <c r="I80" s="100"/>
      <c r="J80" s="101"/>
      <c r="K80" s="163" t="str">
        <f t="shared" ca="1" si="0"/>
        <v/>
      </c>
    </row>
    <row r="81" spans="2:11" x14ac:dyDescent="0.35">
      <c r="B81" s="95"/>
      <c r="C81" s="210"/>
      <c r="D81" s="211"/>
      <c r="E81" s="96"/>
      <c r="F81" s="96"/>
      <c r="G81" s="100"/>
      <c r="H81" s="100"/>
      <c r="I81" s="100"/>
      <c r="J81" s="101"/>
      <c r="K81" s="163" t="str">
        <f t="shared" ca="1" si="0"/>
        <v/>
      </c>
    </row>
    <row r="82" spans="2:11" x14ac:dyDescent="0.35">
      <c r="B82" s="95"/>
      <c r="C82" s="210"/>
      <c r="D82" s="211"/>
      <c r="E82" s="96"/>
      <c r="F82" s="96"/>
      <c r="G82" s="100"/>
      <c r="H82" s="100"/>
      <c r="I82" s="100"/>
      <c r="J82" s="101"/>
      <c r="K82" s="163" t="str">
        <f t="shared" ca="1" si="0"/>
        <v/>
      </c>
    </row>
    <row r="83" spans="2:11" x14ac:dyDescent="0.35">
      <c r="B83" s="95"/>
      <c r="C83" s="210"/>
      <c r="D83" s="211"/>
      <c r="E83" s="96"/>
      <c r="F83" s="96"/>
      <c r="G83" s="100"/>
      <c r="H83" s="100"/>
      <c r="I83" s="100"/>
      <c r="J83" s="101"/>
      <c r="K83" s="163" t="str">
        <f t="shared" ca="1" si="0"/>
        <v/>
      </c>
    </row>
    <row r="84" spans="2:11" x14ac:dyDescent="0.35">
      <c r="B84" s="95"/>
      <c r="C84" s="210"/>
      <c r="D84" s="211"/>
      <c r="E84" s="96"/>
      <c r="F84" s="96"/>
      <c r="G84" s="100"/>
      <c r="H84" s="100"/>
      <c r="I84" s="100"/>
      <c r="J84" s="101"/>
      <c r="K84" s="163" t="str">
        <f t="shared" ca="1" si="0"/>
        <v/>
      </c>
    </row>
    <row r="85" spans="2:11" x14ac:dyDescent="0.35">
      <c r="B85" s="95"/>
      <c r="C85" s="210"/>
      <c r="D85" s="211"/>
      <c r="E85" s="96"/>
      <c r="F85" s="96"/>
      <c r="G85" s="100"/>
      <c r="H85" s="100"/>
      <c r="I85" s="100"/>
      <c r="J85" s="101"/>
      <c r="K85" s="163" t="str">
        <f t="shared" ref="K85:K148" ca="1" si="2">IF(AND(C85&lt;&gt;"",$A$1&gt;$Q$19),Q85,"")</f>
        <v/>
      </c>
    </row>
    <row r="86" spans="2:11" x14ac:dyDescent="0.35">
      <c r="B86" s="95"/>
      <c r="C86" s="210"/>
      <c r="D86" s="211"/>
      <c r="E86" s="96"/>
      <c r="F86" s="96"/>
      <c r="G86" s="100"/>
      <c r="H86" s="100"/>
      <c r="I86" s="100"/>
      <c r="J86" s="101"/>
      <c r="K86" s="163" t="str">
        <f t="shared" ca="1" si="2"/>
        <v/>
      </c>
    </row>
    <row r="87" spans="2:11" x14ac:dyDescent="0.35">
      <c r="B87" s="95"/>
      <c r="C87" s="210"/>
      <c r="D87" s="211"/>
      <c r="E87" s="96"/>
      <c r="F87" s="96"/>
      <c r="G87" s="100"/>
      <c r="H87" s="100"/>
      <c r="I87" s="100"/>
      <c r="J87" s="101"/>
      <c r="K87" s="163" t="str">
        <f t="shared" ca="1" si="2"/>
        <v/>
      </c>
    </row>
    <row r="88" spans="2:11" x14ac:dyDescent="0.35">
      <c r="B88" s="95"/>
      <c r="C88" s="210"/>
      <c r="D88" s="211"/>
      <c r="E88" s="96"/>
      <c r="F88" s="96"/>
      <c r="G88" s="100"/>
      <c r="H88" s="100"/>
      <c r="I88" s="100"/>
      <c r="J88" s="101"/>
      <c r="K88" s="163" t="str">
        <f t="shared" ca="1" si="2"/>
        <v/>
      </c>
    </row>
    <row r="89" spans="2:11" x14ac:dyDescent="0.35">
      <c r="B89" s="95"/>
      <c r="C89" s="210"/>
      <c r="D89" s="211"/>
      <c r="E89" s="96"/>
      <c r="F89" s="96"/>
      <c r="G89" s="100"/>
      <c r="H89" s="100"/>
      <c r="I89" s="100"/>
      <c r="J89" s="101"/>
      <c r="K89" s="163" t="str">
        <f t="shared" ca="1" si="2"/>
        <v/>
      </c>
    </row>
    <row r="90" spans="2:11" x14ac:dyDescent="0.35">
      <c r="B90" s="95"/>
      <c r="C90" s="210"/>
      <c r="D90" s="211"/>
      <c r="E90" s="96"/>
      <c r="F90" s="96"/>
      <c r="G90" s="100"/>
      <c r="H90" s="100"/>
      <c r="I90" s="100"/>
      <c r="J90" s="101"/>
      <c r="K90" s="163" t="str">
        <f t="shared" ca="1" si="2"/>
        <v/>
      </c>
    </row>
    <row r="91" spans="2:11" x14ac:dyDescent="0.35">
      <c r="B91" s="95"/>
      <c r="C91" s="210"/>
      <c r="D91" s="211"/>
      <c r="E91" s="96"/>
      <c r="F91" s="96"/>
      <c r="G91" s="100"/>
      <c r="H91" s="100"/>
      <c r="I91" s="100"/>
      <c r="J91" s="101"/>
      <c r="K91" s="163" t="str">
        <f t="shared" ca="1" si="2"/>
        <v/>
      </c>
    </row>
    <row r="92" spans="2:11" x14ac:dyDescent="0.35">
      <c r="B92" s="95"/>
      <c r="C92" s="210"/>
      <c r="D92" s="211"/>
      <c r="E92" s="96"/>
      <c r="F92" s="96"/>
      <c r="G92" s="100"/>
      <c r="H92" s="100"/>
      <c r="I92" s="100"/>
      <c r="J92" s="101"/>
      <c r="K92" s="163" t="str">
        <f t="shared" ca="1" si="2"/>
        <v/>
      </c>
    </row>
    <row r="93" spans="2:11" x14ac:dyDescent="0.35">
      <c r="B93" s="95"/>
      <c r="C93" s="210"/>
      <c r="D93" s="211"/>
      <c r="E93" s="96"/>
      <c r="F93" s="96"/>
      <c r="G93" s="100"/>
      <c r="H93" s="100"/>
      <c r="I93" s="100"/>
      <c r="J93" s="101"/>
      <c r="K93" s="163" t="str">
        <f t="shared" ca="1" si="2"/>
        <v/>
      </c>
    </row>
    <row r="94" spans="2:11" x14ac:dyDescent="0.35">
      <c r="B94" s="95"/>
      <c r="C94" s="210"/>
      <c r="D94" s="211"/>
      <c r="E94" s="96"/>
      <c r="F94" s="96"/>
      <c r="G94" s="100"/>
      <c r="H94" s="100"/>
      <c r="I94" s="100"/>
      <c r="J94" s="101"/>
      <c r="K94" s="163" t="str">
        <f t="shared" ca="1" si="2"/>
        <v/>
      </c>
    </row>
    <row r="95" spans="2:11" x14ac:dyDescent="0.35">
      <c r="B95" s="95"/>
      <c r="C95" s="210"/>
      <c r="D95" s="211"/>
      <c r="E95" s="96"/>
      <c r="F95" s="96"/>
      <c r="G95" s="100"/>
      <c r="H95" s="100"/>
      <c r="I95" s="100"/>
      <c r="J95" s="101"/>
      <c r="K95" s="163" t="str">
        <f t="shared" ca="1" si="2"/>
        <v/>
      </c>
    </row>
    <row r="96" spans="2:11" x14ac:dyDescent="0.35">
      <c r="B96" s="95"/>
      <c r="C96" s="210"/>
      <c r="D96" s="211"/>
      <c r="E96" s="96"/>
      <c r="F96" s="96"/>
      <c r="G96" s="100"/>
      <c r="H96" s="100"/>
      <c r="I96" s="100"/>
      <c r="J96" s="101"/>
      <c r="K96" s="163" t="str">
        <f t="shared" ca="1" si="2"/>
        <v/>
      </c>
    </row>
    <row r="97" spans="2:11" x14ac:dyDescent="0.35">
      <c r="B97" s="95"/>
      <c r="C97" s="210"/>
      <c r="D97" s="211"/>
      <c r="E97" s="96"/>
      <c r="F97" s="96"/>
      <c r="G97" s="100"/>
      <c r="H97" s="100"/>
      <c r="I97" s="100"/>
      <c r="J97" s="101"/>
      <c r="K97" s="163" t="str">
        <f t="shared" ca="1" si="2"/>
        <v/>
      </c>
    </row>
    <row r="98" spans="2:11" x14ac:dyDescent="0.35">
      <c r="B98" s="95"/>
      <c r="C98" s="210"/>
      <c r="D98" s="211"/>
      <c r="E98" s="96"/>
      <c r="F98" s="96"/>
      <c r="G98" s="100"/>
      <c r="H98" s="100"/>
      <c r="I98" s="100"/>
      <c r="J98" s="101"/>
      <c r="K98" s="163" t="str">
        <f t="shared" ca="1" si="2"/>
        <v/>
      </c>
    </row>
    <row r="99" spans="2:11" x14ac:dyDescent="0.35">
      <c r="B99" s="95"/>
      <c r="C99" s="210"/>
      <c r="D99" s="211"/>
      <c r="E99" s="96"/>
      <c r="F99" s="96"/>
      <c r="G99" s="100"/>
      <c r="H99" s="100"/>
      <c r="I99" s="100"/>
      <c r="J99" s="101"/>
      <c r="K99" s="163" t="str">
        <f t="shared" ca="1" si="2"/>
        <v/>
      </c>
    </row>
    <row r="100" spans="2:11" x14ac:dyDescent="0.35">
      <c r="B100" s="95"/>
      <c r="C100" s="210"/>
      <c r="D100" s="211"/>
      <c r="E100" s="96"/>
      <c r="F100" s="96"/>
      <c r="G100" s="100"/>
      <c r="H100" s="100"/>
      <c r="I100" s="100"/>
      <c r="J100" s="101"/>
      <c r="K100" s="163" t="str">
        <f t="shared" ca="1" si="2"/>
        <v/>
      </c>
    </row>
    <row r="101" spans="2:11" x14ac:dyDescent="0.35">
      <c r="B101" s="95"/>
      <c r="C101" s="210"/>
      <c r="D101" s="211"/>
      <c r="E101" s="96"/>
      <c r="F101" s="96"/>
      <c r="G101" s="100"/>
      <c r="H101" s="100"/>
      <c r="I101" s="100"/>
      <c r="J101" s="101"/>
      <c r="K101" s="163" t="str">
        <f t="shared" ca="1" si="2"/>
        <v/>
      </c>
    </row>
    <row r="102" spans="2:11" x14ac:dyDescent="0.35">
      <c r="B102" s="95"/>
      <c r="C102" s="210"/>
      <c r="D102" s="211"/>
      <c r="E102" s="96"/>
      <c r="F102" s="96"/>
      <c r="G102" s="100"/>
      <c r="H102" s="100"/>
      <c r="I102" s="100"/>
      <c r="J102" s="101"/>
      <c r="K102" s="163" t="str">
        <f t="shared" ca="1" si="2"/>
        <v/>
      </c>
    </row>
    <row r="103" spans="2:11" x14ac:dyDescent="0.35">
      <c r="B103" s="95"/>
      <c r="C103" s="210"/>
      <c r="D103" s="211"/>
      <c r="E103" s="96"/>
      <c r="F103" s="96"/>
      <c r="G103" s="100"/>
      <c r="H103" s="100"/>
      <c r="I103" s="100"/>
      <c r="J103" s="101"/>
      <c r="K103" s="163" t="str">
        <f t="shared" ca="1" si="2"/>
        <v/>
      </c>
    </row>
    <row r="104" spans="2:11" x14ac:dyDescent="0.35">
      <c r="B104" s="95"/>
      <c r="C104" s="210"/>
      <c r="D104" s="211"/>
      <c r="E104" s="96"/>
      <c r="F104" s="96"/>
      <c r="G104" s="100"/>
      <c r="H104" s="100"/>
      <c r="I104" s="100"/>
      <c r="J104" s="101"/>
      <c r="K104" s="163" t="str">
        <f t="shared" ca="1" si="2"/>
        <v/>
      </c>
    </row>
    <row r="105" spans="2:11" x14ac:dyDescent="0.35">
      <c r="B105" s="95"/>
      <c r="C105" s="210"/>
      <c r="D105" s="211"/>
      <c r="E105" s="96"/>
      <c r="F105" s="96"/>
      <c r="G105" s="100"/>
      <c r="H105" s="100"/>
      <c r="I105" s="100"/>
      <c r="J105" s="101"/>
      <c r="K105" s="163" t="str">
        <f t="shared" ca="1" si="2"/>
        <v/>
      </c>
    </row>
    <row r="106" spans="2:11" x14ac:dyDescent="0.35">
      <c r="B106" s="95"/>
      <c r="C106" s="210"/>
      <c r="D106" s="211"/>
      <c r="E106" s="96"/>
      <c r="F106" s="96"/>
      <c r="G106" s="100"/>
      <c r="H106" s="100"/>
      <c r="I106" s="100"/>
      <c r="J106" s="101"/>
      <c r="K106" s="163" t="str">
        <f t="shared" ca="1" si="2"/>
        <v/>
      </c>
    </row>
    <row r="107" spans="2:11" x14ac:dyDescent="0.35">
      <c r="B107" s="95"/>
      <c r="C107" s="210"/>
      <c r="D107" s="211"/>
      <c r="E107" s="96"/>
      <c r="F107" s="96"/>
      <c r="G107" s="100"/>
      <c r="H107" s="100"/>
      <c r="I107" s="100"/>
      <c r="J107" s="101"/>
      <c r="K107" s="163" t="str">
        <f t="shared" ca="1" si="2"/>
        <v/>
      </c>
    </row>
    <row r="108" spans="2:11" x14ac:dyDescent="0.35">
      <c r="B108" s="95"/>
      <c r="C108" s="210"/>
      <c r="D108" s="211"/>
      <c r="E108" s="96"/>
      <c r="F108" s="96"/>
      <c r="G108" s="100"/>
      <c r="H108" s="100"/>
      <c r="I108" s="100"/>
      <c r="J108" s="101"/>
      <c r="K108" s="163" t="str">
        <f t="shared" ca="1" si="2"/>
        <v/>
      </c>
    </row>
    <row r="109" spans="2:11" x14ac:dyDescent="0.35">
      <c r="B109" s="95"/>
      <c r="C109" s="210"/>
      <c r="D109" s="211"/>
      <c r="E109" s="96"/>
      <c r="F109" s="96"/>
      <c r="G109" s="100"/>
      <c r="H109" s="100"/>
      <c r="I109" s="100"/>
      <c r="J109" s="101"/>
      <c r="K109" s="163" t="str">
        <f t="shared" ca="1" si="2"/>
        <v/>
      </c>
    </row>
    <row r="110" spans="2:11" x14ac:dyDescent="0.35">
      <c r="B110" s="95"/>
      <c r="C110" s="210"/>
      <c r="D110" s="211"/>
      <c r="E110" s="96"/>
      <c r="F110" s="96"/>
      <c r="G110" s="100"/>
      <c r="H110" s="100"/>
      <c r="I110" s="100"/>
      <c r="J110" s="101"/>
      <c r="K110" s="163" t="str">
        <f t="shared" ca="1" si="2"/>
        <v/>
      </c>
    </row>
    <row r="111" spans="2:11" x14ac:dyDescent="0.35">
      <c r="B111" s="95"/>
      <c r="C111" s="210"/>
      <c r="D111" s="211"/>
      <c r="E111" s="96"/>
      <c r="F111" s="96"/>
      <c r="G111" s="100"/>
      <c r="H111" s="100"/>
      <c r="I111" s="100"/>
      <c r="J111" s="101"/>
      <c r="K111" s="163" t="str">
        <f t="shared" ca="1" si="2"/>
        <v/>
      </c>
    </row>
    <row r="112" spans="2:11" x14ac:dyDescent="0.35">
      <c r="B112" s="95"/>
      <c r="C112" s="210"/>
      <c r="D112" s="211"/>
      <c r="E112" s="96"/>
      <c r="F112" s="96"/>
      <c r="G112" s="100"/>
      <c r="H112" s="100"/>
      <c r="I112" s="100"/>
      <c r="J112" s="101"/>
      <c r="K112" s="163" t="str">
        <f t="shared" ca="1" si="2"/>
        <v/>
      </c>
    </row>
    <row r="113" spans="2:11" x14ac:dyDescent="0.35">
      <c r="B113" s="95"/>
      <c r="C113" s="210"/>
      <c r="D113" s="211"/>
      <c r="E113" s="96"/>
      <c r="F113" s="96"/>
      <c r="G113" s="100"/>
      <c r="H113" s="100"/>
      <c r="I113" s="100"/>
      <c r="J113" s="101"/>
      <c r="K113" s="163" t="str">
        <f t="shared" ca="1" si="2"/>
        <v/>
      </c>
    </row>
    <row r="114" spans="2:11" x14ac:dyDescent="0.35">
      <c r="B114" s="95"/>
      <c r="C114" s="210"/>
      <c r="D114" s="211"/>
      <c r="E114" s="96"/>
      <c r="F114" s="96"/>
      <c r="G114" s="100"/>
      <c r="H114" s="100"/>
      <c r="I114" s="100"/>
      <c r="J114" s="101"/>
      <c r="K114" s="163" t="str">
        <f t="shared" ca="1" si="2"/>
        <v/>
      </c>
    </row>
    <row r="115" spans="2:11" x14ac:dyDescent="0.35">
      <c r="B115" s="95"/>
      <c r="C115" s="210"/>
      <c r="D115" s="211"/>
      <c r="E115" s="96"/>
      <c r="F115" s="96"/>
      <c r="G115" s="100"/>
      <c r="H115" s="100"/>
      <c r="I115" s="100"/>
      <c r="J115" s="101"/>
      <c r="K115" s="163" t="str">
        <f t="shared" ca="1" si="2"/>
        <v/>
      </c>
    </row>
    <row r="116" spans="2:11" x14ac:dyDescent="0.35">
      <c r="B116" s="95"/>
      <c r="C116" s="210"/>
      <c r="D116" s="211"/>
      <c r="E116" s="96"/>
      <c r="F116" s="96"/>
      <c r="G116" s="100"/>
      <c r="H116" s="100"/>
      <c r="I116" s="100"/>
      <c r="J116" s="101"/>
      <c r="K116" s="163" t="str">
        <f t="shared" ca="1" si="2"/>
        <v/>
      </c>
    </row>
    <row r="117" spans="2:11" x14ac:dyDescent="0.35">
      <c r="B117" s="95"/>
      <c r="C117" s="210"/>
      <c r="D117" s="211"/>
      <c r="E117" s="96"/>
      <c r="F117" s="96"/>
      <c r="G117" s="100"/>
      <c r="H117" s="100"/>
      <c r="I117" s="100"/>
      <c r="J117" s="101"/>
      <c r="K117" s="163" t="str">
        <f t="shared" ca="1" si="2"/>
        <v/>
      </c>
    </row>
    <row r="118" spans="2:11" x14ac:dyDescent="0.35">
      <c r="B118" s="95"/>
      <c r="C118" s="210"/>
      <c r="D118" s="211"/>
      <c r="E118" s="96"/>
      <c r="F118" s="96"/>
      <c r="G118" s="100"/>
      <c r="H118" s="100"/>
      <c r="I118" s="100"/>
      <c r="J118" s="101"/>
      <c r="K118" s="163" t="str">
        <f t="shared" ca="1" si="2"/>
        <v/>
      </c>
    </row>
    <row r="119" spans="2:11" x14ac:dyDescent="0.35">
      <c r="B119" s="95"/>
      <c r="C119" s="210"/>
      <c r="D119" s="211"/>
      <c r="E119" s="96"/>
      <c r="F119" s="96"/>
      <c r="G119" s="100"/>
      <c r="H119" s="100"/>
      <c r="I119" s="100"/>
      <c r="J119" s="101"/>
      <c r="K119" s="163" t="str">
        <f t="shared" ca="1" si="2"/>
        <v/>
      </c>
    </row>
    <row r="120" spans="2:11" x14ac:dyDescent="0.35">
      <c r="B120" s="95"/>
      <c r="C120" s="210"/>
      <c r="D120" s="211"/>
      <c r="E120" s="96"/>
      <c r="F120" s="96"/>
      <c r="G120" s="100"/>
      <c r="H120" s="100"/>
      <c r="I120" s="100"/>
      <c r="J120" s="101"/>
      <c r="K120" s="163" t="str">
        <f t="shared" ca="1" si="2"/>
        <v/>
      </c>
    </row>
    <row r="121" spans="2:11" x14ac:dyDescent="0.35">
      <c r="B121" s="95"/>
      <c r="C121" s="210"/>
      <c r="D121" s="211"/>
      <c r="E121" s="96"/>
      <c r="F121" s="96"/>
      <c r="G121" s="100"/>
      <c r="H121" s="100"/>
      <c r="I121" s="100"/>
      <c r="J121" s="101"/>
      <c r="K121" s="163" t="str">
        <f t="shared" ca="1" si="2"/>
        <v/>
      </c>
    </row>
    <row r="122" spans="2:11" x14ac:dyDescent="0.35">
      <c r="B122" s="95"/>
      <c r="C122" s="210"/>
      <c r="D122" s="211"/>
      <c r="E122" s="96"/>
      <c r="F122" s="96"/>
      <c r="G122" s="100"/>
      <c r="H122" s="100"/>
      <c r="I122" s="100"/>
      <c r="J122" s="101"/>
      <c r="K122" s="163" t="str">
        <f t="shared" ca="1" si="2"/>
        <v/>
      </c>
    </row>
    <row r="123" spans="2:11" x14ac:dyDescent="0.35">
      <c r="B123" s="95"/>
      <c r="C123" s="210"/>
      <c r="D123" s="211"/>
      <c r="E123" s="96"/>
      <c r="F123" s="96"/>
      <c r="G123" s="100"/>
      <c r="H123" s="100"/>
      <c r="I123" s="100"/>
      <c r="J123" s="101"/>
      <c r="K123" s="163" t="str">
        <f t="shared" ca="1" si="2"/>
        <v/>
      </c>
    </row>
    <row r="124" spans="2:11" x14ac:dyDescent="0.35">
      <c r="B124" s="95"/>
      <c r="C124" s="210"/>
      <c r="D124" s="211"/>
      <c r="E124" s="96"/>
      <c r="F124" s="96"/>
      <c r="G124" s="100"/>
      <c r="H124" s="100"/>
      <c r="I124" s="100"/>
      <c r="J124" s="101"/>
      <c r="K124" s="163" t="str">
        <f t="shared" ca="1" si="2"/>
        <v/>
      </c>
    </row>
    <row r="125" spans="2:11" x14ac:dyDescent="0.35">
      <c r="B125" s="95"/>
      <c r="C125" s="210"/>
      <c r="D125" s="211"/>
      <c r="E125" s="96"/>
      <c r="F125" s="96"/>
      <c r="G125" s="100"/>
      <c r="H125" s="100"/>
      <c r="I125" s="100"/>
      <c r="J125" s="101"/>
      <c r="K125" s="163" t="str">
        <f t="shared" ca="1" si="2"/>
        <v/>
      </c>
    </row>
    <row r="126" spans="2:11" x14ac:dyDescent="0.35">
      <c r="B126" s="95"/>
      <c r="C126" s="210"/>
      <c r="D126" s="211"/>
      <c r="E126" s="96"/>
      <c r="F126" s="96"/>
      <c r="G126" s="100"/>
      <c r="H126" s="100"/>
      <c r="I126" s="100"/>
      <c r="J126" s="101"/>
      <c r="K126" s="163" t="str">
        <f t="shared" ca="1" si="2"/>
        <v/>
      </c>
    </row>
    <row r="127" spans="2:11" x14ac:dyDescent="0.35">
      <c r="B127" s="95"/>
      <c r="C127" s="210"/>
      <c r="D127" s="211"/>
      <c r="E127" s="96"/>
      <c r="F127" s="96"/>
      <c r="G127" s="100"/>
      <c r="H127" s="100"/>
      <c r="I127" s="100"/>
      <c r="J127" s="101"/>
      <c r="K127" s="163" t="str">
        <f t="shared" ca="1" si="2"/>
        <v/>
      </c>
    </row>
    <row r="128" spans="2:11" x14ac:dyDescent="0.35">
      <c r="B128" s="95"/>
      <c r="C128" s="210"/>
      <c r="D128" s="211"/>
      <c r="E128" s="96"/>
      <c r="F128" s="96"/>
      <c r="G128" s="100"/>
      <c r="H128" s="100"/>
      <c r="I128" s="100"/>
      <c r="J128" s="101"/>
      <c r="K128" s="163" t="str">
        <f t="shared" ca="1" si="2"/>
        <v/>
      </c>
    </row>
    <row r="129" spans="2:11" x14ac:dyDescent="0.35">
      <c r="B129" s="95"/>
      <c r="C129" s="210"/>
      <c r="D129" s="211"/>
      <c r="E129" s="96"/>
      <c r="F129" s="96"/>
      <c r="G129" s="100"/>
      <c r="H129" s="100"/>
      <c r="I129" s="100"/>
      <c r="J129" s="101"/>
      <c r="K129" s="163" t="str">
        <f t="shared" ca="1" si="2"/>
        <v/>
      </c>
    </row>
    <row r="130" spans="2:11" x14ac:dyDescent="0.35">
      <c r="B130" s="95"/>
      <c r="C130" s="210"/>
      <c r="D130" s="211"/>
      <c r="E130" s="96"/>
      <c r="F130" s="96"/>
      <c r="G130" s="100"/>
      <c r="H130" s="100"/>
      <c r="I130" s="100"/>
      <c r="J130" s="101"/>
      <c r="K130" s="163" t="str">
        <f t="shared" ca="1" si="2"/>
        <v/>
      </c>
    </row>
    <row r="131" spans="2:11" x14ac:dyDescent="0.35">
      <c r="B131" s="95"/>
      <c r="C131" s="210"/>
      <c r="D131" s="211"/>
      <c r="E131" s="96"/>
      <c r="F131" s="96"/>
      <c r="G131" s="100"/>
      <c r="H131" s="100"/>
      <c r="I131" s="100"/>
      <c r="J131" s="101"/>
      <c r="K131" s="163" t="str">
        <f t="shared" ca="1" si="2"/>
        <v/>
      </c>
    </row>
    <row r="132" spans="2:11" x14ac:dyDescent="0.35">
      <c r="B132" s="95"/>
      <c r="C132" s="210"/>
      <c r="D132" s="211"/>
      <c r="E132" s="96"/>
      <c r="F132" s="96"/>
      <c r="G132" s="100"/>
      <c r="H132" s="100"/>
      <c r="I132" s="100"/>
      <c r="J132" s="101"/>
      <c r="K132" s="163" t="str">
        <f t="shared" ca="1" si="2"/>
        <v/>
      </c>
    </row>
    <row r="133" spans="2:11" x14ac:dyDescent="0.35">
      <c r="B133" s="95"/>
      <c r="C133" s="210"/>
      <c r="D133" s="211"/>
      <c r="E133" s="96"/>
      <c r="F133" s="96"/>
      <c r="G133" s="100"/>
      <c r="H133" s="100"/>
      <c r="I133" s="100"/>
      <c r="J133" s="101"/>
      <c r="K133" s="163" t="str">
        <f t="shared" ca="1" si="2"/>
        <v/>
      </c>
    </row>
    <row r="134" spans="2:11" x14ac:dyDescent="0.35">
      <c r="B134" s="95"/>
      <c r="C134" s="210"/>
      <c r="D134" s="211"/>
      <c r="E134" s="96"/>
      <c r="F134" s="96"/>
      <c r="G134" s="100"/>
      <c r="H134" s="100"/>
      <c r="I134" s="100"/>
      <c r="J134" s="101"/>
      <c r="K134" s="163" t="str">
        <f t="shared" ca="1" si="2"/>
        <v/>
      </c>
    </row>
    <row r="135" spans="2:11" x14ac:dyDescent="0.35">
      <c r="B135" s="95"/>
      <c r="C135" s="210"/>
      <c r="D135" s="211"/>
      <c r="E135" s="96"/>
      <c r="F135" s="96"/>
      <c r="G135" s="100"/>
      <c r="H135" s="100"/>
      <c r="I135" s="100"/>
      <c r="J135" s="101"/>
      <c r="K135" s="163" t="str">
        <f t="shared" ca="1" si="2"/>
        <v/>
      </c>
    </row>
    <row r="136" spans="2:11" x14ac:dyDescent="0.35">
      <c r="B136" s="95"/>
      <c r="C136" s="210"/>
      <c r="D136" s="211"/>
      <c r="E136" s="96"/>
      <c r="F136" s="96"/>
      <c r="G136" s="100"/>
      <c r="H136" s="100"/>
      <c r="I136" s="100"/>
      <c r="J136" s="101"/>
      <c r="K136" s="163" t="str">
        <f t="shared" ca="1" si="2"/>
        <v/>
      </c>
    </row>
    <row r="137" spans="2:11" x14ac:dyDescent="0.35">
      <c r="B137" s="95"/>
      <c r="C137" s="210"/>
      <c r="D137" s="211"/>
      <c r="E137" s="96"/>
      <c r="F137" s="96"/>
      <c r="G137" s="100"/>
      <c r="H137" s="100"/>
      <c r="I137" s="100"/>
      <c r="J137" s="101"/>
      <c r="K137" s="163" t="str">
        <f t="shared" ca="1" si="2"/>
        <v/>
      </c>
    </row>
    <row r="138" spans="2:11" x14ac:dyDescent="0.35">
      <c r="B138" s="95"/>
      <c r="C138" s="210"/>
      <c r="D138" s="211"/>
      <c r="E138" s="96"/>
      <c r="F138" s="96"/>
      <c r="G138" s="100"/>
      <c r="H138" s="100"/>
      <c r="I138" s="100"/>
      <c r="J138" s="101"/>
      <c r="K138" s="163" t="str">
        <f t="shared" ca="1" si="2"/>
        <v/>
      </c>
    </row>
    <row r="139" spans="2:11" x14ac:dyDescent="0.35">
      <c r="B139" s="95"/>
      <c r="C139" s="210"/>
      <c r="D139" s="211"/>
      <c r="E139" s="96"/>
      <c r="F139" s="96"/>
      <c r="G139" s="100"/>
      <c r="H139" s="100"/>
      <c r="I139" s="100"/>
      <c r="J139" s="101"/>
      <c r="K139" s="163" t="str">
        <f t="shared" ca="1" si="2"/>
        <v/>
      </c>
    </row>
    <row r="140" spans="2:11" x14ac:dyDescent="0.35">
      <c r="B140" s="95"/>
      <c r="C140" s="210"/>
      <c r="D140" s="211"/>
      <c r="E140" s="96"/>
      <c r="F140" s="96"/>
      <c r="G140" s="100"/>
      <c r="H140" s="100"/>
      <c r="I140" s="100"/>
      <c r="J140" s="101"/>
      <c r="K140" s="163" t="str">
        <f t="shared" ca="1" si="2"/>
        <v/>
      </c>
    </row>
    <row r="141" spans="2:11" x14ac:dyDescent="0.35">
      <c r="B141" s="95"/>
      <c r="C141" s="210"/>
      <c r="D141" s="211"/>
      <c r="E141" s="96"/>
      <c r="F141" s="96"/>
      <c r="G141" s="100"/>
      <c r="H141" s="100"/>
      <c r="I141" s="100"/>
      <c r="J141" s="101"/>
      <c r="K141" s="163" t="str">
        <f t="shared" ca="1" si="2"/>
        <v/>
      </c>
    </row>
    <row r="142" spans="2:11" x14ac:dyDescent="0.35">
      <c r="B142" s="95"/>
      <c r="C142" s="210"/>
      <c r="D142" s="211"/>
      <c r="E142" s="96"/>
      <c r="F142" s="96"/>
      <c r="G142" s="100"/>
      <c r="H142" s="100"/>
      <c r="I142" s="100"/>
      <c r="J142" s="101"/>
      <c r="K142" s="163" t="str">
        <f t="shared" ca="1" si="2"/>
        <v/>
      </c>
    </row>
    <row r="143" spans="2:11" x14ac:dyDescent="0.35">
      <c r="B143" s="95"/>
      <c r="C143" s="210"/>
      <c r="D143" s="211"/>
      <c r="E143" s="96"/>
      <c r="F143" s="96"/>
      <c r="G143" s="100"/>
      <c r="H143" s="100"/>
      <c r="I143" s="100"/>
      <c r="J143" s="101"/>
      <c r="K143" s="163" t="str">
        <f t="shared" ca="1" si="2"/>
        <v/>
      </c>
    </row>
    <row r="144" spans="2:11" x14ac:dyDescent="0.35">
      <c r="B144" s="95"/>
      <c r="C144" s="210"/>
      <c r="D144" s="211"/>
      <c r="E144" s="96"/>
      <c r="F144" s="96"/>
      <c r="G144" s="100"/>
      <c r="H144" s="100"/>
      <c r="I144" s="100"/>
      <c r="J144" s="101"/>
      <c r="K144" s="163" t="str">
        <f t="shared" ca="1" si="2"/>
        <v/>
      </c>
    </row>
    <row r="145" spans="2:11" x14ac:dyDescent="0.35">
      <c r="B145" s="95"/>
      <c r="C145" s="210"/>
      <c r="D145" s="211"/>
      <c r="E145" s="96"/>
      <c r="F145" s="96"/>
      <c r="G145" s="100"/>
      <c r="H145" s="100"/>
      <c r="I145" s="100"/>
      <c r="J145" s="101"/>
      <c r="K145" s="163" t="str">
        <f t="shared" ca="1" si="2"/>
        <v/>
      </c>
    </row>
    <row r="146" spans="2:11" x14ac:dyDescent="0.35">
      <c r="B146" s="95"/>
      <c r="C146" s="210"/>
      <c r="D146" s="211"/>
      <c r="E146" s="96"/>
      <c r="F146" s="96"/>
      <c r="G146" s="100"/>
      <c r="H146" s="100"/>
      <c r="I146" s="100"/>
      <c r="J146" s="101"/>
      <c r="K146" s="163" t="str">
        <f t="shared" ca="1" si="2"/>
        <v/>
      </c>
    </row>
    <row r="147" spans="2:11" x14ac:dyDescent="0.35">
      <c r="B147" s="95"/>
      <c r="C147" s="210"/>
      <c r="D147" s="211"/>
      <c r="E147" s="96"/>
      <c r="F147" s="96"/>
      <c r="G147" s="100"/>
      <c r="H147" s="100"/>
      <c r="I147" s="100"/>
      <c r="J147" s="101"/>
      <c r="K147" s="163" t="str">
        <f t="shared" ca="1" si="2"/>
        <v/>
      </c>
    </row>
    <row r="148" spans="2:11" x14ac:dyDescent="0.35">
      <c r="B148" s="95"/>
      <c r="C148" s="210"/>
      <c r="D148" s="211"/>
      <c r="E148" s="96"/>
      <c r="F148" s="96"/>
      <c r="G148" s="100"/>
      <c r="H148" s="100"/>
      <c r="I148" s="100"/>
      <c r="J148" s="101"/>
      <c r="K148" s="163" t="str">
        <f t="shared" ca="1" si="2"/>
        <v/>
      </c>
    </row>
    <row r="149" spans="2:11" x14ac:dyDescent="0.35">
      <c r="B149" s="95"/>
      <c r="C149" s="210"/>
      <c r="D149" s="211"/>
      <c r="E149" s="96"/>
      <c r="F149" s="96"/>
      <c r="G149" s="100"/>
      <c r="H149" s="100"/>
      <c r="I149" s="100"/>
      <c r="J149" s="101"/>
      <c r="K149" s="163" t="str">
        <f t="shared" ref="K149:K201" ca="1" si="3">IF(AND(C149&lt;&gt;"",$A$1&gt;$Q$19),Q149,"")</f>
        <v/>
      </c>
    </row>
    <row r="150" spans="2:11" x14ac:dyDescent="0.35">
      <c r="B150" s="95"/>
      <c r="C150" s="210"/>
      <c r="D150" s="211"/>
      <c r="E150" s="96"/>
      <c r="F150" s="96"/>
      <c r="G150" s="100"/>
      <c r="H150" s="100"/>
      <c r="I150" s="100"/>
      <c r="J150" s="101"/>
      <c r="K150" s="163" t="str">
        <f t="shared" ca="1" si="3"/>
        <v/>
      </c>
    </row>
    <row r="151" spans="2:11" x14ac:dyDescent="0.35">
      <c r="B151" s="95"/>
      <c r="C151" s="210"/>
      <c r="D151" s="211"/>
      <c r="E151" s="96"/>
      <c r="F151" s="96"/>
      <c r="G151" s="100"/>
      <c r="H151" s="100"/>
      <c r="I151" s="100"/>
      <c r="J151" s="101"/>
      <c r="K151" s="163" t="str">
        <f t="shared" ca="1" si="3"/>
        <v/>
      </c>
    </row>
    <row r="152" spans="2:11" x14ac:dyDescent="0.35">
      <c r="B152" s="95"/>
      <c r="C152" s="210"/>
      <c r="D152" s="211"/>
      <c r="E152" s="96"/>
      <c r="F152" s="96"/>
      <c r="G152" s="100"/>
      <c r="H152" s="100"/>
      <c r="I152" s="100"/>
      <c r="J152" s="101"/>
      <c r="K152" s="163" t="str">
        <f t="shared" ca="1" si="3"/>
        <v/>
      </c>
    </row>
    <row r="153" spans="2:11" x14ac:dyDescent="0.35">
      <c r="B153" s="95"/>
      <c r="C153" s="210"/>
      <c r="D153" s="211"/>
      <c r="E153" s="96"/>
      <c r="F153" s="96"/>
      <c r="G153" s="100"/>
      <c r="H153" s="100"/>
      <c r="I153" s="100"/>
      <c r="J153" s="101"/>
      <c r="K153" s="163" t="str">
        <f t="shared" ca="1" si="3"/>
        <v/>
      </c>
    </row>
    <row r="154" spans="2:11" x14ac:dyDescent="0.35">
      <c r="B154" s="95"/>
      <c r="C154" s="210"/>
      <c r="D154" s="211"/>
      <c r="E154" s="96"/>
      <c r="F154" s="96"/>
      <c r="G154" s="100"/>
      <c r="H154" s="100"/>
      <c r="I154" s="100"/>
      <c r="J154" s="101"/>
      <c r="K154" s="163" t="str">
        <f t="shared" ca="1" si="3"/>
        <v/>
      </c>
    </row>
    <row r="155" spans="2:11" x14ac:dyDescent="0.35">
      <c r="B155" s="95"/>
      <c r="C155" s="210"/>
      <c r="D155" s="211"/>
      <c r="E155" s="96"/>
      <c r="F155" s="96"/>
      <c r="G155" s="100"/>
      <c r="H155" s="100"/>
      <c r="I155" s="100"/>
      <c r="J155" s="101"/>
      <c r="K155" s="163" t="str">
        <f t="shared" ca="1" si="3"/>
        <v/>
      </c>
    </row>
    <row r="156" spans="2:11" x14ac:dyDescent="0.35">
      <c r="B156" s="95"/>
      <c r="C156" s="210"/>
      <c r="D156" s="211"/>
      <c r="E156" s="96"/>
      <c r="F156" s="96"/>
      <c r="G156" s="100"/>
      <c r="H156" s="100"/>
      <c r="I156" s="100"/>
      <c r="J156" s="101"/>
      <c r="K156" s="163" t="str">
        <f t="shared" ca="1" si="3"/>
        <v/>
      </c>
    </row>
    <row r="157" spans="2:11" x14ac:dyDescent="0.35">
      <c r="B157" s="95"/>
      <c r="C157" s="210"/>
      <c r="D157" s="211"/>
      <c r="E157" s="96"/>
      <c r="F157" s="96"/>
      <c r="G157" s="100"/>
      <c r="H157" s="100"/>
      <c r="I157" s="100"/>
      <c r="J157" s="101"/>
      <c r="K157" s="163" t="str">
        <f t="shared" ca="1" si="3"/>
        <v/>
      </c>
    </row>
    <row r="158" spans="2:11" x14ac:dyDescent="0.35">
      <c r="B158" s="95"/>
      <c r="C158" s="210"/>
      <c r="D158" s="211"/>
      <c r="E158" s="96"/>
      <c r="F158" s="96"/>
      <c r="G158" s="100"/>
      <c r="H158" s="100"/>
      <c r="I158" s="100"/>
      <c r="J158" s="101"/>
      <c r="K158" s="163" t="str">
        <f t="shared" ca="1" si="3"/>
        <v/>
      </c>
    </row>
    <row r="159" spans="2:11" x14ac:dyDescent="0.35">
      <c r="B159" s="95"/>
      <c r="C159" s="210"/>
      <c r="D159" s="211"/>
      <c r="E159" s="96"/>
      <c r="F159" s="96"/>
      <c r="G159" s="100"/>
      <c r="H159" s="100"/>
      <c r="I159" s="100"/>
      <c r="J159" s="101"/>
      <c r="K159" s="163" t="str">
        <f t="shared" ca="1" si="3"/>
        <v/>
      </c>
    </row>
    <row r="160" spans="2:11" x14ac:dyDescent="0.35">
      <c r="B160" s="95"/>
      <c r="C160" s="210"/>
      <c r="D160" s="211"/>
      <c r="E160" s="96"/>
      <c r="F160" s="96"/>
      <c r="G160" s="100"/>
      <c r="H160" s="100"/>
      <c r="I160" s="100"/>
      <c r="J160" s="101"/>
      <c r="K160" s="163" t="str">
        <f t="shared" ca="1" si="3"/>
        <v/>
      </c>
    </row>
    <row r="161" spans="2:11" x14ac:dyDescent="0.35">
      <c r="B161" s="95"/>
      <c r="C161" s="210"/>
      <c r="D161" s="211"/>
      <c r="E161" s="96"/>
      <c r="F161" s="96"/>
      <c r="G161" s="100"/>
      <c r="H161" s="100"/>
      <c r="I161" s="100"/>
      <c r="J161" s="101"/>
      <c r="K161" s="163" t="str">
        <f t="shared" ca="1" si="3"/>
        <v/>
      </c>
    </row>
    <row r="162" spans="2:11" x14ac:dyDescent="0.35">
      <c r="B162" s="95"/>
      <c r="C162" s="210"/>
      <c r="D162" s="211"/>
      <c r="E162" s="96"/>
      <c r="F162" s="96"/>
      <c r="G162" s="100"/>
      <c r="H162" s="100"/>
      <c r="I162" s="100"/>
      <c r="J162" s="101"/>
      <c r="K162" s="163" t="str">
        <f t="shared" ca="1" si="3"/>
        <v/>
      </c>
    </row>
    <row r="163" spans="2:11" x14ac:dyDescent="0.35">
      <c r="B163" s="95"/>
      <c r="C163" s="210"/>
      <c r="D163" s="211"/>
      <c r="E163" s="96"/>
      <c r="F163" s="96"/>
      <c r="G163" s="100"/>
      <c r="H163" s="100"/>
      <c r="I163" s="100"/>
      <c r="J163" s="101"/>
      <c r="K163" s="163" t="str">
        <f t="shared" ca="1" si="3"/>
        <v/>
      </c>
    </row>
    <row r="164" spans="2:11" x14ac:dyDescent="0.35">
      <c r="B164" s="95"/>
      <c r="C164" s="210"/>
      <c r="D164" s="211"/>
      <c r="E164" s="96"/>
      <c r="F164" s="96"/>
      <c r="G164" s="100"/>
      <c r="H164" s="100"/>
      <c r="I164" s="100"/>
      <c r="J164" s="101"/>
      <c r="K164" s="163" t="str">
        <f t="shared" ca="1" si="3"/>
        <v/>
      </c>
    </row>
    <row r="165" spans="2:11" x14ac:dyDescent="0.35">
      <c r="B165" s="95"/>
      <c r="C165" s="210"/>
      <c r="D165" s="211"/>
      <c r="E165" s="96"/>
      <c r="F165" s="96"/>
      <c r="G165" s="100"/>
      <c r="H165" s="100"/>
      <c r="I165" s="100"/>
      <c r="J165" s="101"/>
      <c r="K165" s="163" t="str">
        <f t="shared" ca="1" si="3"/>
        <v/>
      </c>
    </row>
    <row r="166" spans="2:11" x14ac:dyDescent="0.35">
      <c r="B166" s="95"/>
      <c r="C166" s="210"/>
      <c r="D166" s="211"/>
      <c r="E166" s="96"/>
      <c r="F166" s="96"/>
      <c r="G166" s="100"/>
      <c r="H166" s="100"/>
      <c r="I166" s="100"/>
      <c r="J166" s="101"/>
      <c r="K166" s="163" t="str">
        <f t="shared" ca="1" si="3"/>
        <v/>
      </c>
    </row>
    <row r="167" spans="2:11" x14ac:dyDescent="0.35">
      <c r="B167" s="95"/>
      <c r="C167" s="210"/>
      <c r="D167" s="211"/>
      <c r="E167" s="96"/>
      <c r="F167" s="96"/>
      <c r="G167" s="100"/>
      <c r="H167" s="100"/>
      <c r="I167" s="100"/>
      <c r="J167" s="101"/>
      <c r="K167" s="163" t="str">
        <f t="shared" ca="1" si="3"/>
        <v/>
      </c>
    </row>
    <row r="168" spans="2:11" x14ac:dyDescent="0.35">
      <c r="B168" s="95"/>
      <c r="C168" s="210"/>
      <c r="D168" s="211"/>
      <c r="E168" s="96"/>
      <c r="F168" s="96"/>
      <c r="G168" s="100"/>
      <c r="H168" s="100"/>
      <c r="I168" s="100"/>
      <c r="J168" s="101"/>
      <c r="K168" s="163" t="str">
        <f t="shared" ca="1" si="3"/>
        <v/>
      </c>
    </row>
    <row r="169" spans="2:11" x14ac:dyDescent="0.35">
      <c r="B169" s="95"/>
      <c r="C169" s="210"/>
      <c r="D169" s="211"/>
      <c r="E169" s="96"/>
      <c r="F169" s="96"/>
      <c r="G169" s="100"/>
      <c r="H169" s="100"/>
      <c r="I169" s="100"/>
      <c r="J169" s="101"/>
      <c r="K169" s="163" t="str">
        <f t="shared" ca="1" si="3"/>
        <v/>
      </c>
    </row>
    <row r="170" spans="2:11" x14ac:dyDescent="0.35">
      <c r="B170" s="95"/>
      <c r="C170" s="210"/>
      <c r="D170" s="211"/>
      <c r="E170" s="96"/>
      <c r="F170" s="96"/>
      <c r="G170" s="100"/>
      <c r="H170" s="100"/>
      <c r="I170" s="100"/>
      <c r="J170" s="101"/>
      <c r="K170" s="163" t="str">
        <f t="shared" ca="1" si="3"/>
        <v/>
      </c>
    </row>
    <row r="171" spans="2:11" x14ac:dyDescent="0.35">
      <c r="B171" s="95"/>
      <c r="C171" s="210"/>
      <c r="D171" s="211"/>
      <c r="E171" s="96"/>
      <c r="F171" s="96"/>
      <c r="G171" s="100"/>
      <c r="H171" s="100"/>
      <c r="I171" s="100"/>
      <c r="J171" s="101"/>
      <c r="K171" s="163" t="str">
        <f t="shared" ca="1" si="3"/>
        <v/>
      </c>
    </row>
    <row r="172" spans="2:11" x14ac:dyDescent="0.35">
      <c r="B172" s="95"/>
      <c r="C172" s="210"/>
      <c r="D172" s="211"/>
      <c r="E172" s="96"/>
      <c r="F172" s="96"/>
      <c r="G172" s="100"/>
      <c r="H172" s="100"/>
      <c r="I172" s="100"/>
      <c r="J172" s="101"/>
      <c r="K172" s="163" t="str">
        <f t="shared" ca="1" si="3"/>
        <v/>
      </c>
    </row>
    <row r="173" spans="2:11" x14ac:dyDescent="0.35">
      <c r="B173" s="95"/>
      <c r="C173" s="210"/>
      <c r="D173" s="211"/>
      <c r="E173" s="96"/>
      <c r="F173" s="96"/>
      <c r="G173" s="100"/>
      <c r="H173" s="100"/>
      <c r="I173" s="100"/>
      <c r="J173" s="101"/>
      <c r="K173" s="163" t="str">
        <f t="shared" ca="1" si="3"/>
        <v/>
      </c>
    </row>
    <row r="174" spans="2:11" x14ac:dyDescent="0.35">
      <c r="B174" s="95"/>
      <c r="C174" s="210"/>
      <c r="D174" s="211"/>
      <c r="E174" s="96"/>
      <c r="F174" s="96"/>
      <c r="G174" s="100"/>
      <c r="H174" s="100"/>
      <c r="I174" s="100"/>
      <c r="J174" s="101"/>
      <c r="K174" s="163" t="str">
        <f t="shared" ca="1" si="3"/>
        <v/>
      </c>
    </row>
    <row r="175" spans="2:11" x14ac:dyDescent="0.35">
      <c r="B175" s="95"/>
      <c r="C175" s="210"/>
      <c r="D175" s="211"/>
      <c r="E175" s="96"/>
      <c r="F175" s="96"/>
      <c r="G175" s="100"/>
      <c r="H175" s="100"/>
      <c r="I175" s="100"/>
      <c r="J175" s="101"/>
      <c r="K175" s="163" t="str">
        <f t="shared" ca="1" si="3"/>
        <v/>
      </c>
    </row>
    <row r="176" spans="2:11" x14ac:dyDescent="0.35">
      <c r="B176" s="95"/>
      <c r="C176" s="210"/>
      <c r="D176" s="211"/>
      <c r="E176" s="96"/>
      <c r="F176" s="96"/>
      <c r="G176" s="100"/>
      <c r="H176" s="100"/>
      <c r="I176" s="100"/>
      <c r="J176" s="101"/>
      <c r="K176" s="163" t="str">
        <f t="shared" ca="1" si="3"/>
        <v/>
      </c>
    </row>
    <row r="177" spans="2:11" x14ac:dyDescent="0.35">
      <c r="B177" s="95"/>
      <c r="C177" s="210"/>
      <c r="D177" s="211"/>
      <c r="E177" s="96"/>
      <c r="F177" s="96"/>
      <c r="G177" s="100"/>
      <c r="H177" s="100"/>
      <c r="I177" s="100"/>
      <c r="J177" s="101"/>
      <c r="K177" s="163" t="str">
        <f t="shared" ca="1" si="3"/>
        <v/>
      </c>
    </row>
    <row r="178" spans="2:11" x14ac:dyDescent="0.35">
      <c r="B178" s="95"/>
      <c r="C178" s="210"/>
      <c r="D178" s="211"/>
      <c r="E178" s="96"/>
      <c r="F178" s="96"/>
      <c r="G178" s="100"/>
      <c r="H178" s="100"/>
      <c r="I178" s="100"/>
      <c r="J178" s="101"/>
      <c r="K178" s="163" t="str">
        <f t="shared" ca="1" si="3"/>
        <v/>
      </c>
    </row>
    <row r="179" spans="2:11" x14ac:dyDescent="0.35">
      <c r="B179" s="95"/>
      <c r="C179" s="210"/>
      <c r="D179" s="211"/>
      <c r="E179" s="96"/>
      <c r="F179" s="96"/>
      <c r="G179" s="100"/>
      <c r="H179" s="100"/>
      <c r="I179" s="100"/>
      <c r="J179" s="101"/>
      <c r="K179" s="163" t="str">
        <f t="shared" ca="1" si="3"/>
        <v/>
      </c>
    </row>
    <row r="180" spans="2:11" x14ac:dyDescent="0.35">
      <c r="B180" s="95"/>
      <c r="C180" s="210"/>
      <c r="D180" s="211"/>
      <c r="E180" s="96"/>
      <c r="F180" s="96"/>
      <c r="G180" s="100"/>
      <c r="H180" s="100"/>
      <c r="I180" s="100"/>
      <c r="J180" s="101"/>
      <c r="K180" s="163" t="str">
        <f t="shared" ca="1" si="3"/>
        <v/>
      </c>
    </row>
    <row r="181" spans="2:11" x14ac:dyDescent="0.35">
      <c r="B181" s="95"/>
      <c r="C181" s="210"/>
      <c r="D181" s="211"/>
      <c r="E181" s="96"/>
      <c r="F181" s="96"/>
      <c r="G181" s="100"/>
      <c r="H181" s="100"/>
      <c r="I181" s="100"/>
      <c r="J181" s="101"/>
      <c r="K181" s="163" t="str">
        <f t="shared" ca="1" si="3"/>
        <v/>
      </c>
    </row>
    <row r="182" spans="2:11" x14ac:dyDescent="0.35">
      <c r="B182" s="95"/>
      <c r="C182" s="210"/>
      <c r="D182" s="211"/>
      <c r="E182" s="96"/>
      <c r="F182" s="96"/>
      <c r="G182" s="100"/>
      <c r="H182" s="100"/>
      <c r="I182" s="100"/>
      <c r="J182" s="101"/>
      <c r="K182" s="163" t="str">
        <f t="shared" ca="1" si="3"/>
        <v/>
      </c>
    </row>
    <row r="183" spans="2:11" x14ac:dyDescent="0.35">
      <c r="B183" s="95"/>
      <c r="C183" s="210"/>
      <c r="D183" s="211"/>
      <c r="E183" s="96"/>
      <c r="F183" s="96"/>
      <c r="G183" s="100"/>
      <c r="H183" s="100"/>
      <c r="I183" s="100"/>
      <c r="J183" s="101"/>
      <c r="K183" s="163" t="str">
        <f t="shared" ca="1" si="3"/>
        <v/>
      </c>
    </row>
    <row r="184" spans="2:11" x14ac:dyDescent="0.35">
      <c r="B184" s="95"/>
      <c r="C184" s="210"/>
      <c r="D184" s="211"/>
      <c r="E184" s="96"/>
      <c r="F184" s="96"/>
      <c r="G184" s="100"/>
      <c r="H184" s="100"/>
      <c r="I184" s="100"/>
      <c r="J184" s="101"/>
      <c r="K184" s="163" t="str">
        <f t="shared" ca="1" si="3"/>
        <v/>
      </c>
    </row>
    <row r="185" spans="2:11" x14ac:dyDescent="0.35">
      <c r="B185" s="95"/>
      <c r="C185" s="210"/>
      <c r="D185" s="211"/>
      <c r="E185" s="96"/>
      <c r="F185" s="96"/>
      <c r="G185" s="100"/>
      <c r="H185" s="100"/>
      <c r="I185" s="100"/>
      <c r="J185" s="101"/>
      <c r="K185" s="163" t="str">
        <f t="shared" ca="1" si="3"/>
        <v/>
      </c>
    </row>
    <row r="186" spans="2:11" x14ac:dyDescent="0.35">
      <c r="B186" s="95"/>
      <c r="C186" s="210"/>
      <c r="D186" s="211"/>
      <c r="E186" s="96"/>
      <c r="F186" s="96"/>
      <c r="G186" s="100"/>
      <c r="H186" s="100"/>
      <c r="I186" s="100"/>
      <c r="J186" s="101"/>
      <c r="K186" s="163" t="str">
        <f t="shared" ca="1" si="3"/>
        <v/>
      </c>
    </row>
    <row r="187" spans="2:11" x14ac:dyDescent="0.35">
      <c r="B187" s="95"/>
      <c r="C187" s="210"/>
      <c r="D187" s="211"/>
      <c r="E187" s="96"/>
      <c r="F187" s="96"/>
      <c r="G187" s="100"/>
      <c r="H187" s="100"/>
      <c r="I187" s="100"/>
      <c r="J187" s="101"/>
      <c r="K187" s="163" t="str">
        <f t="shared" ca="1" si="3"/>
        <v/>
      </c>
    </row>
    <row r="188" spans="2:11" x14ac:dyDescent="0.35">
      <c r="B188" s="95"/>
      <c r="C188" s="210"/>
      <c r="D188" s="211"/>
      <c r="E188" s="96"/>
      <c r="F188" s="96"/>
      <c r="G188" s="100"/>
      <c r="H188" s="100"/>
      <c r="I188" s="100"/>
      <c r="J188" s="101"/>
      <c r="K188" s="163" t="str">
        <f t="shared" ca="1" si="3"/>
        <v/>
      </c>
    </row>
    <row r="189" spans="2:11" x14ac:dyDescent="0.35">
      <c r="B189" s="95"/>
      <c r="C189" s="210"/>
      <c r="D189" s="211"/>
      <c r="E189" s="96"/>
      <c r="F189" s="96"/>
      <c r="G189" s="100"/>
      <c r="H189" s="100"/>
      <c r="I189" s="100"/>
      <c r="J189" s="101"/>
      <c r="K189" s="163" t="str">
        <f t="shared" ca="1" si="3"/>
        <v/>
      </c>
    </row>
    <row r="190" spans="2:11" x14ac:dyDescent="0.35">
      <c r="B190" s="95"/>
      <c r="C190" s="210"/>
      <c r="D190" s="211"/>
      <c r="E190" s="96"/>
      <c r="F190" s="96"/>
      <c r="G190" s="100"/>
      <c r="H190" s="100"/>
      <c r="I190" s="100"/>
      <c r="J190" s="101"/>
      <c r="K190" s="163" t="str">
        <f t="shared" ca="1" si="3"/>
        <v/>
      </c>
    </row>
    <row r="191" spans="2:11" x14ac:dyDescent="0.35">
      <c r="B191" s="95"/>
      <c r="C191" s="210"/>
      <c r="D191" s="211"/>
      <c r="E191" s="96"/>
      <c r="F191" s="96"/>
      <c r="G191" s="100"/>
      <c r="H191" s="100"/>
      <c r="I191" s="100"/>
      <c r="J191" s="101"/>
      <c r="K191" s="163" t="str">
        <f t="shared" ca="1" si="3"/>
        <v/>
      </c>
    </row>
    <row r="192" spans="2:11" x14ac:dyDescent="0.35">
      <c r="B192" s="95"/>
      <c r="C192" s="210"/>
      <c r="D192" s="211"/>
      <c r="E192" s="96"/>
      <c r="F192" s="96"/>
      <c r="G192" s="100"/>
      <c r="H192" s="100"/>
      <c r="I192" s="100"/>
      <c r="J192" s="101"/>
      <c r="K192" s="163" t="str">
        <f t="shared" ca="1" si="3"/>
        <v/>
      </c>
    </row>
    <row r="193" spans="2:11" x14ac:dyDescent="0.35">
      <c r="B193" s="95"/>
      <c r="C193" s="210"/>
      <c r="D193" s="211"/>
      <c r="E193" s="96"/>
      <c r="F193" s="96"/>
      <c r="G193" s="100"/>
      <c r="H193" s="100"/>
      <c r="I193" s="100"/>
      <c r="J193" s="101"/>
      <c r="K193" s="163" t="str">
        <f t="shared" ca="1" si="3"/>
        <v/>
      </c>
    </row>
    <row r="194" spans="2:11" x14ac:dyDescent="0.35">
      <c r="B194" s="95"/>
      <c r="C194" s="210"/>
      <c r="D194" s="211"/>
      <c r="E194" s="96"/>
      <c r="F194" s="96"/>
      <c r="G194" s="100"/>
      <c r="H194" s="100"/>
      <c r="I194" s="100"/>
      <c r="J194" s="101"/>
      <c r="K194" s="163" t="str">
        <f t="shared" ca="1" si="3"/>
        <v/>
      </c>
    </row>
    <row r="195" spans="2:11" x14ac:dyDescent="0.35">
      <c r="B195" s="95"/>
      <c r="C195" s="210"/>
      <c r="D195" s="211"/>
      <c r="E195" s="96"/>
      <c r="F195" s="96"/>
      <c r="G195" s="100"/>
      <c r="H195" s="100"/>
      <c r="I195" s="100"/>
      <c r="J195" s="101"/>
      <c r="K195" s="163" t="str">
        <f t="shared" ca="1" si="3"/>
        <v/>
      </c>
    </row>
    <row r="196" spans="2:11" x14ac:dyDescent="0.35">
      <c r="B196" s="95"/>
      <c r="C196" s="210"/>
      <c r="D196" s="211"/>
      <c r="E196" s="96"/>
      <c r="F196" s="96"/>
      <c r="G196" s="100"/>
      <c r="H196" s="100"/>
      <c r="I196" s="100"/>
      <c r="J196" s="101"/>
      <c r="K196" s="163" t="str">
        <f t="shared" ca="1" si="3"/>
        <v/>
      </c>
    </row>
    <row r="197" spans="2:11" x14ac:dyDescent="0.35">
      <c r="B197" s="95"/>
      <c r="C197" s="210"/>
      <c r="D197" s="211"/>
      <c r="E197" s="96"/>
      <c r="F197" s="96"/>
      <c r="G197" s="100"/>
      <c r="H197" s="100"/>
      <c r="I197" s="100"/>
      <c r="J197" s="101"/>
      <c r="K197" s="163" t="str">
        <f t="shared" ca="1" si="3"/>
        <v/>
      </c>
    </row>
    <row r="198" spans="2:11" x14ac:dyDescent="0.35">
      <c r="B198" s="95"/>
      <c r="C198" s="210"/>
      <c r="D198" s="211"/>
      <c r="E198" s="96"/>
      <c r="F198" s="96"/>
      <c r="G198" s="100"/>
      <c r="H198" s="100"/>
      <c r="I198" s="100"/>
      <c r="J198" s="101"/>
      <c r="K198" s="163" t="str">
        <f t="shared" ca="1" si="3"/>
        <v/>
      </c>
    </row>
    <row r="199" spans="2:11" x14ac:dyDescent="0.35">
      <c r="B199" s="95"/>
      <c r="C199" s="210"/>
      <c r="D199" s="211"/>
      <c r="E199" s="96"/>
      <c r="F199" s="96"/>
      <c r="G199" s="100"/>
      <c r="H199" s="100"/>
      <c r="I199" s="100"/>
      <c r="J199" s="101"/>
      <c r="K199" s="163" t="str">
        <f t="shared" ca="1" si="3"/>
        <v/>
      </c>
    </row>
    <row r="200" spans="2:11" x14ac:dyDescent="0.35">
      <c r="B200" s="95"/>
      <c r="C200" s="210"/>
      <c r="D200" s="211"/>
      <c r="E200" s="96"/>
      <c r="F200" s="96"/>
      <c r="G200" s="100"/>
      <c r="H200" s="100"/>
      <c r="I200" s="100"/>
      <c r="J200" s="101"/>
      <c r="K200" s="163" t="str">
        <f t="shared" ca="1" si="3"/>
        <v/>
      </c>
    </row>
    <row r="201" spans="2:11" x14ac:dyDescent="0.35">
      <c r="B201" s="95"/>
      <c r="C201" s="210"/>
      <c r="D201" s="211"/>
      <c r="E201" s="96"/>
      <c r="F201" s="96"/>
      <c r="G201" s="100"/>
      <c r="H201" s="100"/>
      <c r="I201" s="100"/>
      <c r="J201" s="101"/>
      <c r="K201" s="163" t="str">
        <f t="shared" ca="1" si="3"/>
        <v/>
      </c>
    </row>
  </sheetData>
  <sheetProtection algorithmName="SHA-512" hashValue="7qReTI+Fuosw0rTzbIBCVYBsWghPKFLyXFiACAqdBKGb0SsHLXE6P30l/bBRBUkI32MgSIgvG/E1tyrLqdGzCg==" saltValue="u32oMgkzkznrCK2wXuWStw==" spinCount="100000" sheet="1" objects="1" scenarios="1"/>
  <mergeCells count="197">
    <mergeCell ref="C201:D201"/>
    <mergeCell ref="C196:D196"/>
    <mergeCell ref="C197:D197"/>
    <mergeCell ref="C198:D198"/>
    <mergeCell ref="C199:D199"/>
    <mergeCell ref="C200:D200"/>
    <mergeCell ref="C191:D191"/>
    <mergeCell ref="C192:D192"/>
    <mergeCell ref="C193:D193"/>
    <mergeCell ref="C194:D194"/>
    <mergeCell ref="C195:D195"/>
    <mergeCell ref="C186:D186"/>
    <mergeCell ref="C187:D187"/>
    <mergeCell ref="C188:D188"/>
    <mergeCell ref="C189:D189"/>
    <mergeCell ref="C190:D190"/>
    <mergeCell ref="C181:D181"/>
    <mergeCell ref="C182:D182"/>
    <mergeCell ref="C183:D183"/>
    <mergeCell ref="C184:D184"/>
    <mergeCell ref="C185:D185"/>
    <mergeCell ref="C176:D176"/>
    <mergeCell ref="C177:D177"/>
    <mergeCell ref="C178:D178"/>
    <mergeCell ref="C179:D179"/>
    <mergeCell ref="C180:D180"/>
    <mergeCell ref="C171:D171"/>
    <mergeCell ref="C172:D172"/>
    <mergeCell ref="C173:D173"/>
    <mergeCell ref="C174:D174"/>
    <mergeCell ref="C175:D175"/>
    <mergeCell ref="C166:D166"/>
    <mergeCell ref="C167:D167"/>
    <mergeCell ref="C168:D168"/>
    <mergeCell ref="C169:D169"/>
    <mergeCell ref="C170:D170"/>
    <mergeCell ref="C161:D161"/>
    <mergeCell ref="C162:D162"/>
    <mergeCell ref="C163:D163"/>
    <mergeCell ref="C164:D164"/>
    <mergeCell ref="C165:D165"/>
    <mergeCell ref="C156:D156"/>
    <mergeCell ref="C157:D157"/>
    <mergeCell ref="C158:D158"/>
    <mergeCell ref="C159:D159"/>
    <mergeCell ref="C160:D160"/>
    <mergeCell ref="C151:D151"/>
    <mergeCell ref="C152:D152"/>
    <mergeCell ref="C153:D153"/>
    <mergeCell ref="C154:D154"/>
    <mergeCell ref="C155:D155"/>
    <mergeCell ref="C146:D146"/>
    <mergeCell ref="C147:D147"/>
    <mergeCell ref="C148:D148"/>
    <mergeCell ref="C149:D149"/>
    <mergeCell ref="C150:D150"/>
    <mergeCell ref="C141:D141"/>
    <mergeCell ref="C142:D142"/>
    <mergeCell ref="C143:D143"/>
    <mergeCell ref="C144:D144"/>
    <mergeCell ref="C145:D145"/>
    <mergeCell ref="C136:D136"/>
    <mergeCell ref="C137:D137"/>
    <mergeCell ref="C138:D138"/>
    <mergeCell ref="C139:D139"/>
    <mergeCell ref="C140:D140"/>
    <mergeCell ref="C131:D131"/>
    <mergeCell ref="C132:D132"/>
    <mergeCell ref="C133:D133"/>
    <mergeCell ref="C134:D134"/>
    <mergeCell ref="C135:D135"/>
    <mergeCell ref="C126:D126"/>
    <mergeCell ref="C127:D127"/>
    <mergeCell ref="C128:D128"/>
    <mergeCell ref="C129:D129"/>
    <mergeCell ref="C130:D130"/>
    <mergeCell ref="C121:D121"/>
    <mergeCell ref="C122:D122"/>
    <mergeCell ref="C123:D123"/>
    <mergeCell ref="C124:D124"/>
    <mergeCell ref="C125:D125"/>
    <mergeCell ref="C116:D116"/>
    <mergeCell ref="C117:D117"/>
    <mergeCell ref="C118:D118"/>
    <mergeCell ref="C119:D119"/>
    <mergeCell ref="C120:D120"/>
    <mergeCell ref="C111:D111"/>
    <mergeCell ref="C112:D112"/>
    <mergeCell ref="C113:D113"/>
    <mergeCell ref="C114:D114"/>
    <mergeCell ref="C115:D115"/>
    <mergeCell ref="C106:D106"/>
    <mergeCell ref="C107:D107"/>
    <mergeCell ref="C108:D108"/>
    <mergeCell ref="C109:D109"/>
    <mergeCell ref="C110:D110"/>
    <mergeCell ref="C101:D101"/>
    <mergeCell ref="C102:D102"/>
    <mergeCell ref="C103:D103"/>
    <mergeCell ref="C104:D104"/>
    <mergeCell ref="C105:D105"/>
    <mergeCell ref="C96:D96"/>
    <mergeCell ref="C97:D97"/>
    <mergeCell ref="C98:D98"/>
    <mergeCell ref="C99:D99"/>
    <mergeCell ref="C100:D100"/>
    <mergeCell ref="C91:D91"/>
    <mergeCell ref="C92:D92"/>
    <mergeCell ref="C93:D93"/>
    <mergeCell ref="C94:D94"/>
    <mergeCell ref="C95:D95"/>
    <mergeCell ref="C86:D86"/>
    <mergeCell ref="C87:D87"/>
    <mergeCell ref="C88:D88"/>
    <mergeCell ref="C89:D89"/>
    <mergeCell ref="C90:D90"/>
    <mergeCell ref="C81:D81"/>
    <mergeCell ref="C82:D82"/>
    <mergeCell ref="C83:D83"/>
    <mergeCell ref="C84:D84"/>
    <mergeCell ref="C85:D85"/>
    <mergeCell ref="C76:D76"/>
    <mergeCell ref="C77:D77"/>
    <mergeCell ref="C78:D78"/>
    <mergeCell ref="C79:D79"/>
    <mergeCell ref="C80:D80"/>
    <mergeCell ref="C71:D71"/>
    <mergeCell ref="C72:D72"/>
    <mergeCell ref="C73:D73"/>
    <mergeCell ref="C74:D74"/>
    <mergeCell ref="C75:D75"/>
    <mergeCell ref="C66:D66"/>
    <mergeCell ref="C67:D67"/>
    <mergeCell ref="C68:D68"/>
    <mergeCell ref="C69:D69"/>
    <mergeCell ref="C70:D70"/>
    <mergeCell ref="C61:D61"/>
    <mergeCell ref="C62:D62"/>
    <mergeCell ref="C63:D63"/>
    <mergeCell ref="C64:D64"/>
    <mergeCell ref="C65:D65"/>
    <mergeCell ref="C56:D56"/>
    <mergeCell ref="C57:D57"/>
    <mergeCell ref="C58:D58"/>
    <mergeCell ref="C59:D59"/>
    <mergeCell ref="C60:D60"/>
    <mergeCell ref="C51:D51"/>
    <mergeCell ref="C52:D52"/>
    <mergeCell ref="C53:D53"/>
    <mergeCell ref="C54:D54"/>
    <mergeCell ref="C55:D55"/>
    <mergeCell ref="C46:D46"/>
    <mergeCell ref="C47:D47"/>
    <mergeCell ref="C48:D48"/>
    <mergeCell ref="C49:D49"/>
    <mergeCell ref="C50:D50"/>
    <mergeCell ref="C41:D41"/>
    <mergeCell ref="C42:D42"/>
    <mergeCell ref="C43:D43"/>
    <mergeCell ref="C44:D44"/>
    <mergeCell ref="C45:D45"/>
    <mergeCell ref="C36:D36"/>
    <mergeCell ref="C37:D37"/>
    <mergeCell ref="C38:D38"/>
    <mergeCell ref="C39:D39"/>
    <mergeCell ref="C40:D40"/>
    <mergeCell ref="C31:D31"/>
    <mergeCell ref="C32:D32"/>
    <mergeCell ref="C33:D33"/>
    <mergeCell ref="C34:D34"/>
    <mergeCell ref="C35:D35"/>
    <mergeCell ref="C26:D26"/>
    <mergeCell ref="C27:D27"/>
    <mergeCell ref="C28:D28"/>
    <mergeCell ref="C29:D29"/>
    <mergeCell ref="C30:D30"/>
    <mergeCell ref="C21:D21"/>
    <mergeCell ref="C22:D22"/>
    <mergeCell ref="C23:D23"/>
    <mergeCell ref="C24:D24"/>
    <mergeCell ref="C25:D25"/>
    <mergeCell ref="C2:J2"/>
    <mergeCell ref="C3:G3"/>
    <mergeCell ref="C19:D19"/>
    <mergeCell ref="C20:D20"/>
    <mergeCell ref="C8:D8"/>
    <mergeCell ref="C9:D9"/>
    <mergeCell ref="G7:I7"/>
    <mergeCell ref="G8:I8"/>
    <mergeCell ref="G9:H9"/>
    <mergeCell ref="E7:F7"/>
    <mergeCell ref="E9:F9"/>
    <mergeCell ref="E8:F8"/>
    <mergeCell ref="E10:F10"/>
    <mergeCell ref="G18:J18"/>
    <mergeCell ref="F18:F19"/>
    <mergeCell ref="E18:E19"/>
  </mergeCells>
  <conditionalFormatting sqref="E20:E201">
    <cfRule type="cellIs" dxfId="113" priority="4" operator="greaterThan">
      <formula>85</formula>
    </cfRule>
    <cfRule type="cellIs" dxfId="112" priority="5" operator="greaterThanOrEqual">
      <formula>60</formula>
    </cfRule>
    <cfRule type="expression" dxfId="111" priority="6">
      <formula>$A20&gt;0</formula>
    </cfRule>
  </conditionalFormatting>
  <conditionalFormatting sqref="F20:F201">
    <cfRule type="cellIs" dxfId="110" priority="1" operator="greaterThan">
      <formula>85</formula>
    </cfRule>
    <cfRule type="cellIs" dxfId="109" priority="2" operator="greaterThanOrEqual">
      <formula>60</formula>
    </cfRule>
    <cfRule type="expression" dxfId="108" priority="3">
      <formula>$A20&gt;0</formula>
    </cfRule>
  </conditionalFormatting>
  <dataValidations count="4">
    <dataValidation type="list" allowBlank="1" showInputMessage="1" showErrorMessage="1" sqref="C10">
      <formula1>"SI,NO"</formula1>
    </dataValidation>
    <dataValidation type="list" allowBlank="1" showInputMessage="1" showErrorMessage="1" sqref="C12">
      <formula1>"I,II,III,IV,V"</formula1>
    </dataValidation>
    <dataValidation type="whole" operator="greaterThanOrEqual" allowBlank="1" showInputMessage="1" showErrorMessage="1" sqref="C11">
      <formula1>1</formula1>
    </dataValidation>
    <dataValidation type="date" allowBlank="1" showInputMessage="1" showErrorMessage="1" errorTitle="VERIFIQUE FECHA" error="La fecha no puede ser anterior a la Resolución 0312 del 13.Feb.2019" promptTitle="Fecha de la autoevaluación" prompt="Digite la fecha en que se realiza la autoevaluación._x000a_Debe ser posterior al 13.Feb.2019" sqref="C7">
      <formula1>43509</formula1>
      <formula2>55153</formula2>
    </dataValidation>
  </dataValidations>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J61"/>
  <sheetViews>
    <sheetView workbookViewId="0">
      <selection activeCell="H61" sqref="H61"/>
    </sheetView>
  </sheetViews>
  <sheetFormatPr baseColWidth="10" defaultRowHeight="14.5" x14ac:dyDescent="0.35"/>
  <cols>
    <col min="3" max="3" width="11.453125" style="73"/>
    <col min="5" max="5" width="31.54296875" customWidth="1"/>
    <col min="6" max="6" width="35" customWidth="1"/>
    <col min="7" max="7" width="77.1796875" customWidth="1"/>
    <col min="8" max="8" width="9.1796875" bestFit="1" customWidth="1"/>
    <col min="10" max="10" width="49.7265625" customWidth="1"/>
  </cols>
  <sheetData>
    <row r="1" spans="1:10" x14ac:dyDescent="0.35">
      <c r="A1" t="s">
        <v>261</v>
      </c>
      <c r="B1" t="s">
        <v>298</v>
      </c>
      <c r="C1" s="73" t="s">
        <v>266</v>
      </c>
      <c r="D1" t="s">
        <v>0</v>
      </c>
      <c r="E1" t="s">
        <v>262</v>
      </c>
      <c r="F1" t="s">
        <v>263</v>
      </c>
      <c r="G1" t="s">
        <v>264</v>
      </c>
      <c r="H1" t="s">
        <v>300</v>
      </c>
      <c r="I1" t="s">
        <v>299</v>
      </c>
      <c r="J1" s="74">
        <f>COUNTA(A:A)</f>
        <v>61</v>
      </c>
    </row>
    <row r="2" spans="1:10" ht="72.5" x14ac:dyDescent="0.35">
      <c r="A2">
        <v>1</v>
      </c>
      <c r="B2" t="s">
        <v>655</v>
      </c>
      <c r="C2" s="73">
        <v>45449</v>
      </c>
      <c r="D2" t="s">
        <v>6</v>
      </c>
      <c r="E2" t="s">
        <v>7</v>
      </c>
      <c r="F2" t="s">
        <v>8</v>
      </c>
      <c r="G2" t="s">
        <v>63</v>
      </c>
      <c r="H2" t="s">
        <v>305</v>
      </c>
      <c r="I2">
        <v>0.5</v>
      </c>
      <c r="J2" s="198" t="s">
        <v>658</v>
      </c>
    </row>
    <row r="3" spans="1:10" ht="72.5" x14ac:dyDescent="0.35">
      <c r="A3">
        <v>2</v>
      </c>
      <c r="B3" t="s">
        <v>655</v>
      </c>
      <c r="C3" s="73">
        <v>45449</v>
      </c>
      <c r="D3" t="s">
        <v>6</v>
      </c>
      <c r="E3" t="s">
        <v>7</v>
      </c>
      <c r="F3" t="s">
        <v>8</v>
      </c>
      <c r="G3" t="s">
        <v>64</v>
      </c>
      <c r="H3" t="s">
        <v>305</v>
      </c>
      <c r="I3">
        <v>0.5</v>
      </c>
      <c r="J3" s="198" t="s">
        <v>659</v>
      </c>
    </row>
    <row r="4" spans="1:10" ht="58" x14ac:dyDescent="0.35">
      <c r="A4">
        <v>3</v>
      </c>
      <c r="B4" t="s">
        <v>655</v>
      </c>
      <c r="C4" s="73">
        <v>45449</v>
      </c>
      <c r="D4" t="s">
        <v>6</v>
      </c>
      <c r="E4" t="s">
        <v>7</v>
      </c>
      <c r="F4" t="s">
        <v>8</v>
      </c>
      <c r="G4" t="s">
        <v>65</v>
      </c>
      <c r="H4" t="s">
        <v>305</v>
      </c>
      <c r="I4">
        <v>0.5</v>
      </c>
      <c r="J4" s="198" t="s">
        <v>660</v>
      </c>
    </row>
    <row r="5" spans="1:10" x14ac:dyDescent="0.35">
      <c r="A5">
        <v>4</v>
      </c>
      <c r="B5" t="s">
        <v>655</v>
      </c>
      <c r="C5" s="73">
        <v>45449</v>
      </c>
      <c r="D5" t="s">
        <v>6</v>
      </c>
      <c r="E5" t="s">
        <v>7</v>
      </c>
      <c r="F5" t="s">
        <v>8</v>
      </c>
      <c r="G5" t="s">
        <v>9</v>
      </c>
      <c r="H5" t="s">
        <v>305</v>
      </c>
      <c r="I5">
        <v>0.5</v>
      </c>
      <c r="J5" s="198" t="s">
        <v>267</v>
      </c>
    </row>
    <row r="6" spans="1:10" x14ac:dyDescent="0.35">
      <c r="A6">
        <v>5</v>
      </c>
      <c r="B6" t="s">
        <v>655</v>
      </c>
      <c r="C6" s="73">
        <v>45449</v>
      </c>
      <c r="D6" t="s">
        <v>6</v>
      </c>
      <c r="E6" t="s">
        <v>7</v>
      </c>
      <c r="F6" t="s">
        <v>8</v>
      </c>
      <c r="G6" t="s">
        <v>108</v>
      </c>
      <c r="H6" t="s">
        <v>1</v>
      </c>
      <c r="I6">
        <v>0.5</v>
      </c>
      <c r="J6" t="s">
        <v>267</v>
      </c>
    </row>
    <row r="7" spans="1:10" x14ac:dyDescent="0.35">
      <c r="A7">
        <v>6</v>
      </c>
      <c r="B7" t="s">
        <v>655</v>
      </c>
      <c r="C7" s="73">
        <v>45449</v>
      </c>
      <c r="D7" t="s">
        <v>6</v>
      </c>
      <c r="E7" t="s">
        <v>7</v>
      </c>
      <c r="F7" t="s">
        <v>8</v>
      </c>
      <c r="G7" t="s">
        <v>66</v>
      </c>
      <c r="H7" t="s">
        <v>305</v>
      </c>
      <c r="I7">
        <v>0.5</v>
      </c>
      <c r="J7" s="198" t="s">
        <v>661</v>
      </c>
    </row>
    <row r="8" spans="1:10" x14ac:dyDescent="0.35">
      <c r="A8">
        <v>7</v>
      </c>
      <c r="B8" t="s">
        <v>655</v>
      </c>
      <c r="C8" s="73">
        <v>45449</v>
      </c>
      <c r="D8" t="s">
        <v>6</v>
      </c>
      <c r="E8" t="s">
        <v>7</v>
      </c>
      <c r="F8" t="s">
        <v>8</v>
      </c>
      <c r="G8" t="s">
        <v>67</v>
      </c>
      <c r="H8" t="s">
        <v>305</v>
      </c>
      <c r="I8">
        <v>0.5</v>
      </c>
      <c r="J8" t="s">
        <v>662</v>
      </c>
    </row>
    <row r="9" spans="1:10" x14ac:dyDescent="0.35">
      <c r="A9">
        <v>8</v>
      </c>
      <c r="B9" t="s">
        <v>655</v>
      </c>
      <c r="C9" s="73">
        <v>45449</v>
      </c>
      <c r="D9" t="s">
        <v>6</v>
      </c>
      <c r="E9" t="s">
        <v>7</v>
      </c>
      <c r="F9" t="s">
        <v>8</v>
      </c>
      <c r="G9" t="s">
        <v>68</v>
      </c>
      <c r="H9" t="s">
        <v>305</v>
      </c>
      <c r="I9">
        <v>0.5</v>
      </c>
      <c r="J9" s="198" t="s">
        <v>663</v>
      </c>
    </row>
    <row r="10" spans="1:10" x14ac:dyDescent="0.35">
      <c r="A10">
        <v>9</v>
      </c>
      <c r="B10" t="s">
        <v>655</v>
      </c>
      <c r="C10" s="73">
        <v>45449</v>
      </c>
      <c r="D10" t="s">
        <v>6</v>
      </c>
      <c r="E10" t="s">
        <v>7</v>
      </c>
      <c r="F10" t="s">
        <v>10</v>
      </c>
      <c r="G10" t="s">
        <v>69</v>
      </c>
      <c r="H10" t="s">
        <v>305</v>
      </c>
      <c r="I10">
        <v>2</v>
      </c>
      <c r="J10" t="s">
        <v>664</v>
      </c>
    </row>
    <row r="11" spans="1:10" ht="29" x14ac:dyDescent="0.35">
      <c r="A11">
        <v>10</v>
      </c>
      <c r="B11" t="s">
        <v>655</v>
      </c>
      <c r="C11" s="73">
        <v>45449</v>
      </c>
      <c r="D11" t="s">
        <v>6</v>
      </c>
      <c r="E11" t="s">
        <v>7</v>
      </c>
      <c r="F11" t="s">
        <v>10</v>
      </c>
      <c r="G11" t="s">
        <v>109</v>
      </c>
      <c r="H11" t="s">
        <v>306</v>
      </c>
      <c r="I11">
        <v>0</v>
      </c>
      <c r="J11" s="198" t="s">
        <v>665</v>
      </c>
    </row>
    <row r="12" spans="1:10" x14ac:dyDescent="0.35">
      <c r="A12">
        <v>11</v>
      </c>
      <c r="B12" t="s">
        <v>655</v>
      </c>
      <c r="C12" s="73">
        <v>45449</v>
      </c>
      <c r="D12" t="s">
        <v>6</v>
      </c>
      <c r="E12" t="s">
        <v>7</v>
      </c>
      <c r="F12" t="s">
        <v>10</v>
      </c>
      <c r="G12" t="s">
        <v>70</v>
      </c>
      <c r="H12" t="s">
        <v>305</v>
      </c>
      <c r="I12">
        <v>2</v>
      </c>
      <c r="J12" t="s">
        <v>666</v>
      </c>
    </row>
    <row r="13" spans="1:10" ht="58" x14ac:dyDescent="0.35">
      <c r="A13">
        <v>12</v>
      </c>
      <c r="B13" t="s">
        <v>655</v>
      </c>
      <c r="C13" s="73">
        <v>45449</v>
      </c>
      <c r="D13" t="s">
        <v>6</v>
      </c>
      <c r="E13" t="s">
        <v>7</v>
      </c>
      <c r="F13" t="s">
        <v>11</v>
      </c>
      <c r="G13" t="s">
        <v>71</v>
      </c>
      <c r="H13" t="s">
        <v>305</v>
      </c>
      <c r="I13">
        <v>1</v>
      </c>
      <c r="J13" s="198" t="s">
        <v>667</v>
      </c>
    </row>
    <row r="14" spans="1:10" ht="29" x14ac:dyDescent="0.35">
      <c r="A14">
        <v>13</v>
      </c>
      <c r="B14" t="s">
        <v>655</v>
      </c>
      <c r="C14" s="73">
        <v>45449</v>
      </c>
      <c r="D14" t="s">
        <v>6</v>
      </c>
      <c r="E14" t="s">
        <v>12</v>
      </c>
      <c r="F14" t="s">
        <v>13</v>
      </c>
      <c r="G14" t="s">
        <v>72</v>
      </c>
      <c r="H14" t="s">
        <v>306</v>
      </c>
      <c r="I14">
        <v>0</v>
      </c>
      <c r="J14" s="198" t="s">
        <v>668</v>
      </c>
    </row>
    <row r="15" spans="1:10" ht="43.5" x14ac:dyDescent="0.35">
      <c r="A15">
        <v>14</v>
      </c>
      <c r="B15" t="s">
        <v>655</v>
      </c>
      <c r="C15" s="73">
        <v>45449</v>
      </c>
      <c r="D15" t="s">
        <v>6</v>
      </c>
      <c r="E15" t="s">
        <v>12</v>
      </c>
      <c r="F15" t="s">
        <v>14</v>
      </c>
      <c r="G15" t="s">
        <v>73</v>
      </c>
      <c r="H15" t="s">
        <v>305</v>
      </c>
      <c r="I15">
        <v>1</v>
      </c>
      <c r="J15" s="198" t="s">
        <v>669</v>
      </c>
    </row>
    <row r="16" spans="1:10" x14ac:dyDescent="0.35">
      <c r="A16">
        <v>15</v>
      </c>
      <c r="B16" t="s">
        <v>655</v>
      </c>
      <c r="C16" s="73">
        <v>45449</v>
      </c>
      <c r="D16" t="s">
        <v>6</v>
      </c>
      <c r="E16" t="s">
        <v>12</v>
      </c>
      <c r="F16" t="s">
        <v>16</v>
      </c>
      <c r="G16" t="s">
        <v>15</v>
      </c>
      <c r="H16" t="s">
        <v>305</v>
      </c>
      <c r="I16">
        <v>2</v>
      </c>
      <c r="J16" t="s">
        <v>670</v>
      </c>
    </row>
    <row r="17" spans="1:10" ht="29" x14ac:dyDescent="0.35">
      <c r="A17">
        <v>16</v>
      </c>
      <c r="B17" t="s">
        <v>655</v>
      </c>
      <c r="C17" s="73">
        <v>45449</v>
      </c>
      <c r="D17" t="s">
        <v>6</v>
      </c>
      <c r="E17" t="s">
        <v>12</v>
      </c>
      <c r="F17" t="s">
        <v>17</v>
      </c>
      <c r="G17" t="s">
        <v>74</v>
      </c>
      <c r="H17" t="s">
        <v>306</v>
      </c>
      <c r="I17">
        <v>0</v>
      </c>
      <c r="J17" s="198" t="s">
        <v>671</v>
      </c>
    </row>
    <row r="18" spans="1:10" x14ac:dyDescent="0.35">
      <c r="A18">
        <v>17</v>
      </c>
      <c r="B18" t="s">
        <v>655</v>
      </c>
      <c r="C18" s="73">
        <v>45449</v>
      </c>
      <c r="D18" t="s">
        <v>6</v>
      </c>
      <c r="E18" t="s">
        <v>12</v>
      </c>
      <c r="F18" t="s">
        <v>18</v>
      </c>
      <c r="G18" t="s">
        <v>75</v>
      </c>
      <c r="H18" t="s">
        <v>305</v>
      </c>
      <c r="I18">
        <v>1</v>
      </c>
      <c r="J18" s="198" t="s">
        <v>672</v>
      </c>
    </row>
    <row r="19" spans="1:10" x14ac:dyDescent="0.35">
      <c r="A19">
        <v>18</v>
      </c>
      <c r="B19" t="s">
        <v>655</v>
      </c>
      <c r="C19" s="73">
        <v>45449</v>
      </c>
      <c r="D19" t="s">
        <v>6</v>
      </c>
      <c r="E19" t="s">
        <v>12</v>
      </c>
      <c r="F19" t="s">
        <v>19</v>
      </c>
      <c r="G19" t="s">
        <v>76</v>
      </c>
      <c r="H19" t="s">
        <v>306</v>
      </c>
      <c r="I19">
        <v>0</v>
      </c>
      <c r="J19" t="s">
        <v>267</v>
      </c>
    </row>
    <row r="20" spans="1:10" x14ac:dyDescent="0.35">
      <c r="A20">
        <v>19</v>
      </c>
      <c r="B20" t="s">
        <v>655</v>
      </c>
      <c r="C20" s="73">
        <v>45449</v>
      </c>
      <c r="D20" t="s">
        <v>6</v>
      </c>
      <c r="E20" t="s">
        <v>12</v>
      </c>
      <c r="F20" t="s">
        <v>20</v>
      </c>
      <c r="G20" t="s">
        <v>77</v>
      </c>
      <c r="H20" t="s">
        <v>306</v>
      </c>
      <c r="I20">
        <v>0</v>
      </c>
      <c r="J20" t="s">
        <v>267</v>
      </c>
    </row>
    <row r="21" spans="1:10" x14ac:dyDescent="0.35">
      <c r="A21">
        <v>20</v>
      </c>
      <c r="B21" t="s">
        <v>655</v>
      </c>
      <c r="C21" s="73">
        <v>45449</v>
      </c>
      <c r="D21" t="s">
        <v>6</v>
      </c>
      <c r="E21" t="s">
        <v>12</v>
      </c>
      <c r="F21" t="s">
        <v>21</v>
      </c>
      <c r="G21" t="s">
        <v>110</v>
      </c>
      <c r="H21" t="s">
        <v>306</v>
      </c>
      <c r="I21">
        <v>0</v>
      </c>
      <c r="J21" s="198" t="s">
        <v>267</v>
      </c>
    </row>
    <row r="22" spans="1:10" ht="29" x14ac:dyDescent="0.35">
      <c r="A22">
        <v>21</v>
      </c>
      <c r="B22" t="s">
        <v>655</v>
      </c>
      <c r="C22" s="73">
        <v>45449</v>
      </c>
      <c r="D22" t="s">
        <v>6</v>
      </c>
      <c r="E22" t="s">
        <v>12</v>
      </c>
      <c r="F22" t="s">
        <v>22</v>
      </c>
      <c r="G22" t="s">
        <v>78</v>
      </c>
      <c r="H22" t="s">
        <v>305</v>
      </c>
      <c r="I22">
        <v>2</v>
      </c>
      <c r="J22" s="198" t="s">
        <v>673</v>
      </c>
    </row>
    <row r="23" spans="1:10" x14ac:dyDescent="0.35">
      <c r="A23">
        <v>22</v>
      </c>
      <c r="B23" t="s">
        <v>655</v>
      </c>
      <c r="C23" s="73">
        <v>45449</v>
      </c>
      <c r="D23" t="s">
        <v>6</v>
      </c>
      <c r="E23" t="s">
        <v>12</v>
      </c>
      <c r="F23" t="s">
        <v>23</v>
      </c>
      <c r="G23" t="s">
        <v>79</v>
      </c>
      <c r="H23" t="s">
        <v>306</v>
      </c>
      <c r="I23">
        <v>0</v>
      </c>
      <c r="J23" t="s">
        <v>267</v>
      </c>
    </row>
    <row r="24" spans="1:10" x14ac:dyDescent="0.35">
      <c r="A24">
        <v>23</v>
      </c>
      <c r="B24" t="s">
        <v>655</v>
      </c>
      <c r="C24" s="73">
        <v>45449</v>
      </c>
      <c r="D24" t="s">
        <v>25</v>
      </c>
      <c r="E24" t="s">
        <v>26</v>
      </c>
      <c r="F24" t="s">
        <v>27</v>
      </c>
      <c r="G24" t="s">
        <v>111</v>
      </c>
      <c r="H24" t="s">
        <v>306</v>
      </c>
      <c r="I24">
        <v>0</v>
      </c>
      <c r="J24" t="s">
        <v>674</v>
      </c>
    </row>
    <row r="25" spans="1:10" x14ac:dyDescent="0.35">
      <c r="A25">
        <v>24</v>
      </c>
      <c r="B25" t="s">
        <v>655</v>
      </c>
      <c r="C25" s="73">
        <v>45449</v>
      </c>
      <c r="D25" t="s">
        <v>25</v>
      </c>
      <c r="E25" t="s">
        <v>26</v>
      </c>
      <c r="F25" t="s">
        <v>27</v>
      </c>
      <c r="G25" t="s">
        <v>28</v>
      </c>
      <c r="H25" t="s">
        <v>305</v>
      </c>
      <c r="I25">
        <v>1</v>
      </c>
      <c r="J25" t="s">
        <v>675</v>
      </c>
    </row>
    <row r="26" spans="1:10" x14ac:dyDescent="0.35">
      <c r="A26">
        <v>25</v>
      </c>
      <c r="B26" t="s">
        <v>655</v>
      </c>
      <c r="C26" s="73">
        <v>45449</v>
      </c>
      <c r="D26" t="s">
        <v>25</v>
      </c>
      <c r="E26" t="s">
        <v>26</v>
      </c>
      <c r="F26" t="s">
        <v>27</v>
      </c>
      <c r="G26" t="s">
        <v>80</v>
      </c>
      <c r="H26" t="s">
        <v>305</v>
      </c>
      <c r="I26">
        <v>1</v>
      </c>
      <c r="J26" t="s">
        <v>676</v>
      </c>
    </row>
    <row r="27" spans="1:10" ht="29" x14ac:dyDescent="0.35">
      <c r="A27">
        <v>26</v>
      </c>
      <c r="B27" t="s">
        <v>655</v>
      </c>
      <c r="C27" s="73">
        <v>45449</v>
      </c>
      <c r="D27" t="s">
        <v>25</v>
      </c>
      <c r="E27" t="s">
        <v>26</v>
      </c>
      <c r="F27" t="s">
        <v>27</v>
      </c>
      <c r="G27" t="s">
        <v>81</v>
      </c>
      <c r="H27" t="s">
        <v>305</v>
      </c>
      <c r="I27">
        <v>1</v>
      </c>
      <c r="J27" s="198" t="s">
        <v>677</v>
      </c>
    </row>
    <row r="28" spans="1:10" x14ac:dyDescent="0.35">
      <c r="A28">
        <v>27</v>
      </c>
      <c r="B28" t="s">
        <v>655</v>
      </c>
      <c r="C28" s="73">
        <v>45449</v>
      </c>
      <c r="D28" t="s">
        <v>25</v>
      </c>
      <c r="E28" t="s">
        <v>26</v>
      </c>
      <c r="F28" t="s">
        <v>27</v>
      </c>
      <c r="G28" t="s">
        <v>82</v>
      </c>
      <c r="H28" t="s">
        <v>305</v>
      </c>
      <c r="I28">
        <v>1</v>
      </c>
      <c r="J28" t="s">
        <v>267</v>
      </c>
    </row>
    <row r="29" spans="1:10" x14ac:dyDescent="0.35">
      <c r="A29">
        <v>28</v>
      </c>
      <c r="B29" t="s">
        <v>655</v>
      </c>
      <c r="C29" s="73">
        <v>45449</v>
      </c>
      <c r="D29" t="s">
        <v>25</v>
      </c>
      <c r="E29" t="s">
        <v>26</v>
      </c>
      <c r="F29" t="s">
        <v>27</v>
      </c>
      <c r="G29" t="s">
        <v>83</v>
      </c>
      <c r="H29" t="s">
        <v>305</v>
      </c>
      <c r="I29">
        <v>1</v>
      </c>
      <c r="J29" s="198" t="s">
        <v>267</v>
      </c>
    </row>
    <row r="30" spans="1:10" ht="29" x14ac:dyDescent="0.35">
      <c r="A30">
        <v>29</v>
      </c>
      <c r="B30" t="s">
        <v>655</v>
      </c>
      <c r="C30" s="73">
        <v>45449</v>
      </c>
      <c r="D30" t="s">
        <v>25</v>
      </c>
      <c r="E30" t="s">
        <v>26</v>
      </c>
      <c r="F30" t="s">
        <v>27</v>
      </c>
      <c r="G30" t="s">
        <v>84</v>
      </c>
      <c r="H30" t="s">
        <v>305</v>
      </c>
      <c r="I30">
        <v>1</v>
      </c>
      <c r="J30" s="198" t="s">
        <v>678</v>
      </c>
    </row>
    <row r="31" spans="1:10" x14ac:dyDescent="0.35">
      <c r="A31">
        <v>30</v>
      </c>
      <c r="B31" t="s">
        <v>655</v>
      </c>
      <c r="C31" s="73">
        <v>45449</v>
      </c>
      <c r="D31" t="s">
        <v>25</v>
      </c>
      <c r="E31" t="s">
        <v>26</v>
      </c>
      <c r="F31" t="s">
        <v>27</v>
      </c>
      <c r="G31" t="s">
        <v>85</v>
      </c>
      <c r="H31" t="s">
        <v>305</v>
      </c>
      <c r="I31">
        <v>1</v>
      </c>
      <c r="J31" t="s">
        <v>267</v>
      </c>
    </row>
    <row r="32" spans="1:10" x14ac:dyDescent="0.35">
      <c r="A32">
        <v>31</v>
      </c>
      <c r="B32" t="s">
        <v>655</v>
      </c>
      <c r="C32" s="73">
        <v>45449</v>
      </c>
      <c r="D32" t="s">
        <v>25</v>
      </c>
      <c r="E32" t="s">
        <v>26</v>
      </c>
      <c r="F32" t="s">
        <v>27</v>
      </c>
      <c r="G32" t="s">
        <v>29</v>
      </c>
      <c r="H32" t="s">
        <v>306</v>
      </c>
      <c r="I32">
        <v>0</v>
      </c>
      <c r="J32" t="s">
        <v>267</v>
      </c>
    </row>
    <row r="33" spans="1:10" x14ac:dyDescent="0.35">
      <c r="A33">
        <v>32</v>
      </c>
      <c r="B33" t="s">
        <v>655</v>
      </c>
      <c r="C33" s="73">
        <v>45449</v>
      </c>
      <c r="D33" t="s">
        <v>25</v>
      </c>
      <c r="E33" t="s">
        <v>26</v>
      </c>
      <c r="F33" t="s">
        <v>30</v>
      </c>
      <c r="G33" t="s">
        <v>86</v>
      </c>
      <c r="H33" t="s">
        <v>684</v>
      </c>
      <c r="I33">
        <v>0</v>
      </c>
      <c r="J33" t="s">
        <v>679</v>
      </c>
    </row>
    <row r="34" spans="1:10" x14ac:dyDescent="0.35">
      <c r="A34">
        <v>33</v>
      </c>
      <c r="B34" t="s">
        <v>655</v>
      </c>
      <c r="C34" s="73">
        <v>45449</v>
      </c>
      <c r="D34" t="s">
        <v>25</v>
      </c>
      <c r="E34" t="s">
        <v>26</v>
      </c>
      <c r="F34" t="s">
        <v>30</v>
      </c>
      <c r="G34" t="s">
        <v>112</v>
      </c>
      <c r="H34" t="s">
        <v>305</v>
      </c>
      <c r="I34">
        <v>2</v>
      </c>
      <c r="J34" s="198" t="s">
        <v>267</v>
      </c>
    </row>
    <row r="35" spans="1:10" x14ac:dyDescent="0.35">
      <c r="A35">
        <v>34</v>
      </c>
      <c r="B35" t="s">
        <v>655</v>
      </c>
      <c r="C35" s="73">
        <v>45449</v>
      </c>
      <c r="D35" t="s">
        <v>25</v>
      </c>
      <c r="E35" t="s">
        <v>26</v>
      </c>
      <c r="F35" t="s">
        <v>30</v>
      </c>
      <c r="G35" t="s">
        <v>113</v>
      </c>
      <c r="H35" t="s">
        <v>306</v>
      </c>
      <c r="I35">
        <v>0</v>
      </c>
      <c r="J35" s="198" t="s">
        <v>267</v>
      </c>
    </row>
    <row r="36" spans="1:10" x14ac:dyDescent="0.35">
      <c r="A36">
        <v>35</v>
      </c>
      <c r="B36" t="s">
        <v>655</v>
      </c>
      <c r="C36" s="73">
        <v>45449</v>
      </c>
      <c r="D36" t="s">
        <v>25</v>
      </c>
      <c r="E36" t="s">
        <v>26</v>
      </c>
      <c r="F36" t="s">
        <v>31</v>
      </c>
      <c r="G36" t="s">
        <v>87</v>
      </c>
      <c r="H36" t="s">
        <v>306</v>
      </c>
      <c r="I36">
        <v>0</v>
      </c>
      <c r="J36" t="s">
        <v>267</v>
      </c>
    </row>
    <row r="37" spans="1:10" x14ac:dyDescent="0.35">
      <c r="A37">
        <v>36</v>
      </c>
      <c r="B37" t="s">
        <v>655</v>
      </c>
      <c r="C37" s="73">
        <v>45449</v>
      </c>
      <c r="D37" t="s">
        <v>25</v>
      </c>
      <c r="E37" t="s">
        <v>26</v>
      </c>
      <c r="F37" t="s">
        <v>31</v>
      </c>
      <c r="G37" t="s">
        <v>88</v>
      </c>
      <c r="H37" t="s">
        <v>306</v>
      </c>
      <c r="I37">
        <v>0</v>
      </c>
      <c r="J37" t="s">
        <v>267</v>
      </c>
    </row>
    <row r="38" spans="1:10" x14ac:dyDescent="0.35">
      <c r="A38">
        <v>37</v>
      </c>
      <c r="B38" t="s">
        <v>655</v>
      </c>
      <c r="C38" s="73">
        <v>45449</v>
      </c>
      <c r="D38" t="s">
        <v>25</v>
      </c>
      <c r="E38" t="s">
        <v>26</v>
      </c>
      <c r="F38" t="s">
        <v>31</v>
      </c>
      <c r="G38" t="s">
        <v>89</v>
      </c>
      <c r="H38" t="s">
        <v>306</v>
      </c>
      <c r="I38">
        <v>0</v>
      </c>
      <c r="J38" t="s">
        <v>267</v>
      </c>
    </row>
    <row r="39" spans="1:10" x14ac:dyDescent="0.35">
      <c r="A39">
        <v>38</v>
      </c>
      <c r="B39" t="s">
        <v>655</v>
      </c>
      <c r="C39" s="73">
        <v>45449</v>
      </c>
      <c r="D39" t="s">
        <v>25</v>
      </c>
      <c r="E39" t="s">
        <v>26</v>
      </c>
      <c r="F39" t="s">
        <v>31</v>
      </c>
      <c r="G39" t="s">
        <v>90</v>
      </c>
      <c r="H39" t="s">
        <v>306</v>
      </c>
      <c r="I39">
        <v>0</v>
      </c>
      <c r="J39" t="s">
        <v>267</v>
      </c>
    </row>
    <row r="40" spans="1:10" x14ac:dyDescent="0.35">
      <c r="A40">
        <v>39</v>
      </c>
      <c r="B40" t="s">
        <v>655</v>
      </c>
      <c r="C40" s="73">
        <v>45449</v>
      </c>
      <c r="D40" t="s">
        <v>25</v>
      </c>
      <c r="E40" t="s">
        <v>26</v>
      </c>
      <c r="F40" t="s">
        <v>31</v>
      </c>
      <c r="G40" t="s">
        <v>91</v>
      </c>
      <c r="H40" t="s">
        <v>306</v>
      </c>
      <c r="I40">
        <v>0</v>
      </c>
      <c r="J40" t="s">
        <v>267</v>
      </c>
    </row>
    <row r="41" spans="1:10" x14ac:dyDescent="0.35">
      <c r="A41">
        <v>40</v>
      </c>
      <c r="B41" t="s">
        <v>655</v>
      </c>
      <c r="C41" s="73">
        <v>45449</v>
      </c>
      <c r="D41" t="s">
        <v>25</v>
      </c>
      <c r="E41" t="s">
        <v>26</v>
      </c>
      <c r="F41" t="s">
        <v>31</v>
      </c>
      <c r="G41" t="s">
        <v>92</v>
      </c>
      <c r="H41" t="s">
        <v>306</v>
      </c>
      <c r="I41">
        <v>0</v>
      </c>
      <c r="J41" t="s">
        <v>267</v>
      </c>
    </row>
    <row r="42" spans="1:10" x14ac:dyDescent="0.35">
      <c r="A42">
        <v>41</v>
      </c>
      <c r="B42" t="s">
        <v>655</v>
      </c>
      <c r="C42" s="73">
        <v>45449</v>
      </c>
      <c r="D42" t="s">
        <v>25</v>
      </c>
      <c r="E42" t="s">
        <v>32</v>
      </c>
      <c r="F42" t="s">
        <v>33</v>
      </c>
      <c r="G42" t="s">
        <v>93</v>
      </c>
      <c r="H42" t="s">
        <v>305</v>
      </c>
      <c r="I42">
        <v>4</v>
      </c>
      <c r="J42" t="s">
        <v>680</v>
      </c>
    </row>
    <row r="43" spans="1:10" x14ac:dyDescent="0.35">
      <c r="A43">
        <v>42</v>
      </c>
      <c r="B43" t="s">
        <v>655</v>
      </c>
      <c r="C43" s="73">
        <v>45449</v>
      </c>
      <c r="D43" t="s">
        <v>25</v>
      </c>
      <c r="E43" t="s">
        <v>32</v>
      </c>
      <c r="F43" t="s">
        <v>33</v>
      </c>
      <c r="G43" t="s">
        <v>94</v>
      </c>
      <c r="H43" t="s">
        <v>306</v>
      </c>
      <c r="I43">
        <v>0</v>
      </c>
      <c r="J43" t="s">
        <v>267</v>
      </c>
    </row>
    <row r="44" spans="1:10" x14ac:dyDescent="0.35">
      <c r="A44">
        <v>43</v>
      </c>
      <c r="B44" t="s">
        <v>655</v>
      </c>
      <c r="C44" s="73">
        <v>45449</v>
      </c>
      <c r="D44" t="s">
        <v>25</v>
      </c>
      <c r="E44" t="s">
        <v>32</v>
      </c>
      <c r="F44" t="s">
        <v>33</v>
      </c>
      <c r="G44" t="s">
        <v>95</v>
      </c>
      <c r="H44" t="s">
        <v>306</v>
      </c>
      <c r="I44">
        <v>0</v>
      </c>
      <c r="J44" t="s">
        <v>267</v>
      </c>
    </row>
    <row r="45" spans="1:10" x14ac:dyDescent="0.35">
      <c r="A45">
        <v>44</v>
      </c>
      <c r="B45" t="s">
        <v>655</v>
      </c>
      <c r="C45" s="73">
        <v>45449</v>
      </c>
      <c r="D45" t="s">
        <v>25</v>
      </c>
      <c r="E45" t="s">
        <v>32</v>
      </c>
      <c r="F45" t="s">
        <v>33</v>
      </c>
      <c r="G45" t="s">
        <v>114</v>
      </c>
      <c r="H45" t="s">
        <v>306</v>
      </c>
      <c r="I45">
        <v>0</v>
      </c>
      <c r="J45" s="198" t="s">
        <v>267</v>
      </c>
    </row>
    <row r="46" spans="1:10" x14ac:dyDescent="0.35">
      <c r="A46">
        <v>45</v>
      </c>
      <c r="B46" t="s">
        <v>655</v>
      </c>
      <c r="C46" s="73">
        <v>45449</v>
      </c>
      <c r="D46" t="s">
        <v>25</v>
      </c>
      <c r="E46" t="s">
        <v>32</v>
      </c>
      <c r="F46" t="s">
        <v>34</v>
      </c>
      <c r="G46" t="s">
        <v>115</v>
      </c>
      <c r="H46" t="s">
        <v>306</v>
      </c>
      <c r="I46">
        <v>0</v>
      </c>
      <c r="J46" t="s">
        <v>267</v>
      </c>
    </row>
    <row r="47" spans="1:10" x14ac:dyDescent="0.35">
      <c r="A47">
        <v>46</v>
      </c>
      <c r="B47" t="s">
        <v>655</v>
      </c>
      <c r="C47" s="73">
        <v>45449</v>
      </c>
      <c r="D47" t="s">
        <v>25</v>
      </c>
      <c r="E47" t="s">
        <v>32</v>
      </c>
      <c r="F47" t="s">
        <v>34</v>
      </c>
      <c r="G47" t="s">
        <v>96</v>
      </c>
      <c r="H47" t="s">
        <v>306</v>
      </c>
      <c r="I47">
        <v>0</v>
      </c>
      <c r="J47" t="s">
        <v>267</v>
      </c>
    </row>
    <row r="48" spans="1:10" x14ac:dyDescent="0.35">
      <c r="A48">
        <v>47</v>
      </c>
      <c r="B48" t="s">
        <v>655</v>
      </c>
      <c r="C48" s="73">
        <v>45449</v>
      </c>
      <c r="D48" t="s">
        <v>25</v>
      </c>
      <c r="E48" t="s">
        <v>32</v>
      </c>
      <c r="F48" t="s">
        <v>34</v>
      </c>
      <c r="G48" t="s">
        <v>97</v>
      </c>
      <c r="H48" t="s">
        <v>306</v>
      </c>
      <c r="I48">
        <v>0</v>
      </c>
      <c r="J48" t="s">
        <v>267</v>
      </c>
    </row>
    <row r="49" spans="1:10" x14ac:dyDescent="0.35">
      <c r="A49">
        <v>48</v>
      </c>
      <c r="B49" t="s">
        <v>655</v>
      </c>
      <c r="C49" s="73">
        <v>45449</v>
      </c>
      <c r="D49" t="s">
        <v>25</v>
      </c>
      <c r="E49" t="s">
        <v>32</v>
      </c>
      <c r="F49" t="s">
        <v>34</v>
      </c>
      <c r="G49" t="s">
        <v>116</v>
      </c>
      <c r="H49" t="s">
        <v>305</v>
      </c>
      <c r="I49">
        <v>2.5</v>
      </c>
      <c r="J49" t="s">
        <v>681</v>
      </c>
    </row>
    <row r="50" spans="1:10" x14ac:dyDescent="0.35">
      <c r="A50">
        <v>49</v>
      </c>
      <c r="B50" t="s">
        <v>655</v>
      </c>
      <c r="C50" s="73">
        <v>45449</v>
      </c>
      <c r="D50" t="s">
        <v>25</v>
      </c>
      <c r="E50" t="s">
        <v>32</v>
      </c>
      <c r="F50" t="s">
        <v>34</v>
      </c>
      <c r="G50" t="s">
        <v>98</v>
      </c>
      <c r="H50" t="s">
        <v>306</v>
      </c>
      <c r="I50">
        <v>0</v>
      </c>
      <c r="J50" s="198" t="s">
        <v>267</v>
      </c>
    </row>
    <row r="51" spans="1:10" x14ac:dyDescent="0.35">
      <c r="A51">
        <v>50</v>
      </c>
      <c r="B51" t="s">
        <v>655</v>
      </c>
      <c r="C51" s="73">
        <v>45449</v>
      </c>
      <c r="D51" t="s">
        <v>25</v>
      </c>
      <c r="E51" t="s">
        <v>32</v>
      </c>
      <c r="F51" t="s">
        <v>34</v>
      </c>
      <c r="G51" t="s">
        <v>117</v>
      </c>
      <c r="H51" t="s">
        <v>305</v>
      </c>
      <c r="I51">
        <v>2.5</v>
      </c>
      <c r="J51" t="s">
        <v>267</v>
      </c>
    </row>
    <row r="52" spans="1:10" x14ac:dyDescent="0.35">
      <c r="A52">
        <v>51</v>
      </c>
      <c r="B52" t="s">
        <v>655</v>
      </c>
      <c r="C52" s="73">
        <v>45449</v>
      </c>
      <c r="D52" t="s">
        <v>25</v>
      </c>
      <c r="E52" t="s">
        <v>35</v>
      </c>
      <c r="F52" t="s">
        <v>36</v>
      </c>
      <c r="G52" t="s">
        <v>118</v>
      </c>
      <c r="H52" t="s">
        <v>306</v>
      </c>
      <c r="I52">
        <v>0</v>
      </c>
      <c r="J52" s="198" t="s">
        <v>267</v>
      </c>
    </row>
    <row r="53" spans="1:10" x14ac:dyDescent="0.35">
      <c r="A53">
        <v>52</v>
      </c>
      <c r="B53" t="s">
        <v>655</v>
      </c>
      <c r="C53" s="73">
        <v>45449</v>
      </c>
      <c r="D53" t="s">
        <v>25</v>
      </c>
      <c r="E53" t="s">
        <v>35</v>
      </c>
      <c r="F53" t="s">
        <v>36</v>
      </c>
      <c r="G53" t="s">
        <v>99</v>
      </c>
      <c r="H53" t="s">
        <v>305</v>
      </c>
      <c r="I53">
        <v>5</v>
      </c>
      <c r="J53" t="s">
        <v>267</v>
      </c>
    </row>
    <row r="54" spans="1:10" x14ac:dyDescent="0.35">
      <c r="A54">
        <v>53</v>
      </c>
      <c r="B54" t="s">
        <v>655</v>
      </c>
      <c r="C54" s="73">
        <v>45449</v>
      </c>
      <c r="D54" t="s">
        <v>38</v>
      </c>
      <c r="E54" t="s">
        <v>39</v>
      </c>
      <c r="F54" t="s">
        <v>40</v>
      </c>
      <c r="G54" t="s">
        <v>119</v>
      </c>
      <c r="H54" t="s">
        <v>306</v>
      </c>
      <c r="I54">
        <v>0</v>
      </c>
      <c r="J54" t="s">
        <v>267</v>
      </c>
    </row>
    <row r="55" spans="1:10" x14ac:dyDescent="0.35">
      <c r="A55">
        <v>54</v>
      </c>
      <c r="B55" t="s">
        <v>655</v>
      </c>
      <c r="C55" s="73">
        <v>45449</v>
      </c>
      <c r="D55" t="s">
        <v>38</v>
      </c>
      <c r="E55" t="s">
        <v>39</v>
      </c>
      <c r="F55" t="s">
        <v>40</v>
      </c>
      <c r="G55" t="s">
        <v>100</v>
      </c>
      <c r="H55" t="s">
        <v>306</v>
      </c>
      <c r="I55">
        <v>0</v>
      </c>
      <c r="J55" t="s">
        <v>267</v>
      </c>
    </row>
    <row r="56" spans="1:10" x14ac:dyDescent="0.35">
      <c r="A56">
        <v>55</v>
      </c>
      <c r="B56" t="s">
        <v>655</v>
      </c>
      <c r="C56" s="73">
        <v>45449</v>
      </c>
      <c r="D56" t="s">
        <v>38</v>
      </c>
      <c r="E56" t="s">
        <v>39</v>
      </c>
      <c r="F56" t="s">
        <v>40</v>
      </c>
      <c r="G56" t="s">
        <v>120</v>
      </c>
      <c r="H56" t="s">
        <v>306</v>
      </c>
      <c r="I56">
        <v>0</v>
      </c>
      <c r="J56" t="s">
        <v>267</v>
      </c>
    </row>
    <row r="57" spans="1:10" x14ac:dyDescent="0.35">
      <c r="A57">
        <v>56</v>
      </c>
      <c r="B57" t="s">
        <v>655</v>
      </c>
      <c r="C57" s="73">
        <v>45449</v>
      </c>
      <c r="D57" t="s">
        <v>38</v>
      </c>
      <c r="E57" t="s">
        <v>39</v>
      </c>
      <c r="F57" t="s">
        <v>40</v>
      </c>
      <c r="G57" t="s">
        <v>121</v>
      </c>
      <c r="H57" t="s">
        <v>306</v>
      </c>
      <c r="I57">
        <v>0</v>
      </c>
      <c r="J57" t="s">
        <v>267</v>
      </c>
    </row>
    <row r="58" spans="1:10" x14ac:dyDescent="0.35">
      <c r="A58">
        <v>57</v>
      </c>
      <c r="B58" t="s">
        <v>655</v>
      </c>
      <c r="C58" s="73">
        <v>45449</v>
      </c>
      <c r="D58" t="s">
        <v>43</v>
      </c>
      <c r="E58" t="s">
        <v>44</v>
      </c>
      <c r="F58" t="s">
        <v>42</v>
      </c>
      <c r="G58" t="s">
        <v>122</v>
      </c>
      <c r="H58" t="s">
        <v>306</v>
      </c>
      <c r="I58">
        <v>0</v>
      </c>
      <c r="J58" t="s">
        <v>267</v>
      </c>
    </row>
    <row r="59" spans="1:10" x14ac:dyDescent="0.35">
      <c r="A59">
        <v>58</v>
      </c>
      <c r="B59" t="s">
        <v>655</v>
      </c>
      <c r="C59" s="73">
        <v>45449</v>
      </c>
      <c r="D59" t="s">
        <v>43</v>
      </c>
      <c r="E59" t="s">
        <v>44</v>
      </c>
      <c r="F59" t="s">
        <v>42</v>
      </c>
      <c r="G59" t="s">
        <v>101</v>
      </c>
      <c r="H59" t="s">
        <v>306</v>
      </c>
      <c r="I59">
        <v>0</v>
      </c>
      <c r="J59" t="s">
        <v>267</v>
      </c>
    </row>
    <row r="60" spans="1:10" x14ac:dyDescent="0.35">
      <c r="A60">
        <v>59</v>
      </c>
      <c r="B60" t="s">
        <v>655</v>
      </c>
      <c r="C60" s="73">
        <v>45449</v>
      </c>
      <c r="D60" t="s">
        <v>43</v>
      </c>
      <c r="E60" t="s">
        <v>44</v>
      </c>
      <c r="F60" t="s">
        <v>42</v>
      </c>
      <c r="G60" t="s">
        <v>102</v>
      </c>
      <c r="H60" t="s">
        <v>306</v>
      </c>
      <c r="I60">
        <v>0</v>
      </c>
      <c r="J60" t="s">
        <v>267</v>
      </c>
    </row>
    <row r="61" spans="1:10" x14ac:dyDescent="0.35">
      <c r="A61">
        <v>60</v>
      </c>
      <c r="B61" t="s">
        <v>655</v>
      </c>
      <c r="C61" s="73">
        <v>45449</v>
      </c>
      <c r="D61" t="s">
        <v>43</v>
      </c>
      <c r="E61" t="s">
        <v>44</v>
      </c>
      <c r="F61" t="s">
        <v>42</v>
      </c>
      <c r="G61" t="s">
        <v>123</v>
      </c>
      <c r="H61" t="s">
        <v>306</v>
      </c>
      <c r="I61">
        <v>0</v>
      </c>
      <c r="J61" t="s">
        <v>267</v>
      </c>
    </row>
  </sheetData>
  <sheetProtection autoFilter="0"/>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filterMode="1">
    <pageSetUpPr fitToPage="1"/>
  </sheetPr>
  <dimension ref="A1:BY100"/>
  <sheetViews>
    <sheetView showGridLines="0" showRowColHeaders="0" zoomScale="85" zoomScaleNormal="85" workbookViewId="0">
      <pane ySplit="7" topLeftCell="A8" activePane="bottomLeft" state="frozenSplit"/>
      <selection activeCell="G1" sqref="G1"/>
      <selection pane="bottomLeft" activeCell="M8" sqref="M8"/>
    </sheetView>
  </sheetViews>
  <sheetFormatPr baseColWidth="10" defaultRowHeight="14.5" x14ac:dyDescent="0.35"/>
  <cols>
    <col min="1" max="8" width="11.453125" hidden="1" customWidth="1"/>
    <col min="9" max="9" width="1.26953125" style="93" customWidth="1"/>
    <col min="10" max="10" width="8" style="45" customWidth="1"/>
    <col min="11" max="11" width="10.7265625" style="46" customWidth="1"/>
    <col min="12" max="12" width="41" style="47" customWidth="1"/>
    <col min="13" max="13" width="65.54296875" style="49" customWidth="1"/>
    <col min="14" max="14" width="11.7265625" style="47" customWidth="1"/>
    <col min="15" max="15" width="13.81640625" style="47" customWidth="1"/>
    <col min="16" max="18" width="11.7265625" style="47" customWidth="1"/>
    <col min="19" max="19" width="15.7265625" style="47" customWidth="1"/>
    <col min="20" max="20" width="150.7265625" style="47" customWidth="1"/>
    <col min="21" max="21" width="3.7265625" style="120" hidden="1" customWidth="1"/>
    <col min="22" max="25" width="12.453125" style="47" hidden="1" customWidth="1"/>
    <col min="26" max="26" width="10.1796875" style="47" hidden="1" customWidth="1"/>
    <col min="27" max="27" width="10.1796875" style="46" hidden="1" customWidth="1"/>
    <col min="28" max="28" width="10.1796875" style="45" hidden="1" customWidth="1"/>
    <col min="29" max="35" width="12.453125" hidden="1" customWidth="1"/>
    <col min="36" max="36" width="9.26953125" hidden="1" customWidth="1"/>
    <col min="37" max="37" width="12.453125" hidden="1" customWidth="1"/>
    <col min="38" max="38" width="23.81640625" hidden="1" customWidth="1"/>
    <col min="39" max="42" width="12.453125" hidden="1" customWidth="1"/>
    <col min="43" max="43" width="16" hidden="1" customWidth="1"/>
    <col min="44" max="46" width="12.453125" hidden="1" customWidth="1"/>
    <col min="47" max="53" width="11.453125" hidden="1" customWidth="1"/>
    <col min="54" max="54" width="13.54296875" hidden="1" customWidth="1"/>
    <col min="55" max="77" width="11.453125" hidden="1" customWidth="1"/>
    <col min="78" max="78" width="2.26953125" customWidth="1"/>
    <col min="79" max="82" width="11.453125" customWidth="1"/>
  </cols>
  <sheetData>
    <row r="1" spans="1:61" ht="67.5" customHeight="1" x14ac:dyDescent="0.35">
      <c r="A1" s="61" t="s">
        <v>127</v>
      </c>
      <c r="B1" s="61">
        <f>100-SUM(B2:B67)</f>
        <v>87.5</v>
      </c>
      <c r="C1" s="61" t="s">
        <v>128</v>
      </c>
      <c r="D1" s="61">
        <f>100-SUM(D2:D67)</f>
        <v>91</v>
      </c>
      <c r="E1" s="61" t="s">
        <v>129</v>
      </c>
      <c r="F1" s="61">
        <f>100-SUM(F2:F67)</f>
        <v>62.25</v>
      </c>
      <c r="G1" s="61" t="s">
        <v>294</v>
      </c>
      <c r="H1" s="61">
        <v>0</v>
      </c>
      <c r="J1" s="261" t="s">
        <v>687</v>
      </c>
      <c r="K1" s="262"/>
      <c r="L1" s="262"/>
      <c r="M1" s="262"/>
      <c r="N1" s="262"/>
      <c r="O1" s="262"/>
      <c r="P1" s="262"/>
      <c r="Q1" s="262"/>
      <c r="R1" s="262"/>
      <c r="S1" s="262"/>
      <c r="Y1" s="47">
        <v>7</v>
      </c>
      <c r="Z1" s="53"/>
      <c r="AA1" s="53"/>
      <c r="AB1" s="81" t="s">
        <v>686</v>
      </c>
      <c r="AC1" s="83" t="s">
        <v>655</v>
      </c>
      <c r="AD1" s="53" t="s">
        <v>435</v>
      </c>
      <c r="AE1" s="84">
        <v>45449</v>
      </c>
      <c r="AF1" s="53" t="s">
        <v>2</v>
      </c>
      <c r="AG1" s="83" t="s">
        <v>649</v>
      </c>
      <c r="AH1" s="83" t="s">
        <v>653</v>
      </c>
      <c r="AI1" s="83">
        <v>216</v>
      </c>
      <c r="AJ1" t="str">
        <f>Mnu!V12</f>
        <v>Art 16</v>
      </c>
    </row>
    <row r="2" spans="1:61" ht="24" customHeight="1" x14ac:dyDescent="0.35">
      <c r="A2" s="5" t="s">
        <v>46</v>
      </c>
      <c r="B2" s="5"/>
      <c r="C2" s="5" t="s">
        <v>46</v>
      </c>
      <c r="D2" s="5"/>
      <c r="E2" s="5" t="s">
        <v>46</v>
      </c>
      <c r="F2" s="5"/>
      <c r="G2" t="s">
        <v>46</v>
      </c>
      <c r="J2" s="283" t="s">
        <v>107</v>
      </c>
      <c r="K2" s="283"/>
      <c r="L2" s="284" t="str">
        <f>Mnu!C8</f>
        <v xml:space="preserve">Alcaldia del Carmen de Viboral </v>
      </c>
      <c r="M2" s="284"/>
      <c r="N2" s="286" t="s">
        <v>134</v>
      </c>
      <c r="O2" s="286"/>
      <c r="P2" s="63" t="str">
        <f>Mnu!C10</f>
        <v>NO</v>
      </c>
      <c r="Q2" s="285" t="s">
        <v>281</v>
      </c>
      <c r="R2" s="285"/>
      <c r="S2" s="63">
        <f>Mnu!C11</f>
        <v>216</v>
      </c>
      <c r="Y2" s="47" t="s">
        <v>657</v>
      </c>
      <c r="Z2" s="52"/>
      <c r="AA2" s="52"/>
      <c r="AB2" s="51" t="s">
        <v>434</v>
      </c>
      <c r="AL2" s="55"/>
      <c r="AM2" s="55"/>
      <c r="AN2" s="55"/>
      <c r="AO2" s="55"/>
      <c r="AP2" s="55"/>
      <c r="AQ2">
        <f>Mnu!W12</f>
        <v>7</v>
      </c>
      <c r="AR2" s="55"/>
      <c r="AS2" s="55"/>
      <c r="AT2" s="55" t="s">
        <v>267</v>
      </c>
    </row>
    <row r="3" spans="1:61" ht="24" customHeight="1" thickBot="1" x14ac:dyDescent="0.4">
      <c r="A3" s="5" t="s">
        <v>46</v>
      </c>
      <c r="B3" s="5"/>
      <c r="C3" s="5" t="s">
        <v>46</v>
      </c>
      <c r="D3" s="5"/>
      <c r="E3" s="5" t="s">
        <v>46</v>
      </c>
      <c r="F3" s="5"/>
      <c r="G3" t="s">
        <v>46</v>
      </c>
      <c r="J3" s="283" t="s">
        <v>279</v>
      </c>
      <c r="K3" s="283"/>
      <c r="L3" s="288" t="str">
        <f>Mnu!C9</f>
        <v>890982616-9</v>
      </c>
      <c r="M3" s="289"/>
      <c r="N3" s="287" t="s">
        <v>133</v>
      </c>
      <c r="O3" s="287"/>
      <c r="P3" s="63" t="str">
        <f>Mnu!C12</f>
        <v>I</v>
      </c>
      <c r="Q3" s="285" t="s">
        <v>280</v>
      </c>
      <c r="R3" s="285"/>
      <c r="S3" s="64">
        <f>Mnu!C7</f>
        <v>45449</v>
      </c>
      <c r="Z3" s="52"/>
      <c r="AA3" s="52"/>
      <c r="AB3" s="80">
        <v>2</v>
      </c>
      <c r="AC3" t="s">
        <v>2</v>
      </c>
      <c r="AD3" t="s">
        <v>107</v>
      </c>
      <c r="AE3" t="s">
        <v>301</v>
      </c>
      <c r="AF3" t="s">
        <v>302</v>
      </c>
      <c r="AG3" t="s">
        <v>303</v>
      </c>
      <c r="AH3" t="s">
        <v>304</v>
      </c>
      <c r="AI3" t="s">
        <v>309</v>
      </c>
      <c r="AJ3" t="s">
        <v>310</v>
      </c>
      <c r="AK3" t="s">
        <v>311</v>
      </c>
      <c r="AL3" t="s">
        <v>275</v>
      </c>
      <c r="AM3" t="s">
        <v>312</v>
      </c>
      <c r="AQ3" t="s">
        <v>532</v>
      </c>
      <c r="AR3" t="s">
        <v>533</v>
      </c>
    </row>
    <row r="4" spans="1:61" ht="21" customHeight="1" thickBot="1" x14ac:dyDescent="0.4">
      <c r="A4" s="62" t="s">
        <v>46</v>
      </c>
      <c r="B4" s="62"/>
      <c r="C4" s="62" t="s">
        <v>46</v>
      </c>
      <c r="D4" s="62"/>
      <c r="E4" s="62" t="s">
        <v>46</v>
      </c>
      <c r="F4" s="62"/>
      <c r="G4" t="s">
        <v>46</v>
      </c>
      <c r="H4" s="53"/>
      <c r="J4" s="263" t="s">
        <v>125</v>
      </c>
      <c r="K4" s="263"/>
      <c r="L4" s="263"/>
      <c r="M4" s="263"/>
      <c r="N4" s="263"/>
      <c r="O4" s="263"/>
      <c r="P4" s="263"/>
      <c r="Q4" s="263"/>
      <c r="R4" s="263"/>
      <c r="S4" s="263"/>
      <c r="T4" s="233" t="s">
        <v>585</v>
      </c>
      <c r="Z4" s="53"/>
      <c r="AA4" s="53"/>
      <c r="AB4" s="53"/>
      <c r="AC4" s="66">
        <f>S3</f>
        <v>45449</v>
      </c>
      <c r="AD4" s="66" t="str">
        <f>L2</f>
        <v xml:space="preserve">Alcaldia del Carmen de Viboral </v>
      </c>
      <c r="AE4" s="72" t="str">
        <f>L3</f>
        <v>890982616-9</v>
      </c>
      <c r="AF4" s="53" t="str">
        <f>P2</f>
        <v>NO</v>
      </c>
      <c r="AG4" s="53" t="str">
        <f>P3</f>
        <v>I</v>
      </c>
      <c r="AH4" s="53">
        <f>S2</f>
        <v>216</v>
      </c>
      <c r="AI4">
        <f>O75</f>
        <v>26</v>
      </c>
      <c r="AJ4">
        <f>O76</f>
        <v>32</v>
      </c>
      <c r="AK4">
        <f>O77</f>
        <v>1</v>
      </c>
      <c r="AL4" t="str">
        <f>S68</f>
        <v/>
      </c>
      <c r="AM4" t="str">
        <f>Q76</f>
        <v/>
      </c>
      <c r="AO4" t="str">
        <f>IF(Mnu!E8="","No registrado",Mnu!E8)</f>
        <v>No registrado</v>
      </c>
      <c r="AP4" t="str">
        <f>IF(Mnu!E10="","No registrado",Mnu!E10)</f>
        <v>No registrado</v>
      </c>
      <c r="AQ4">
        <f>100-INDEX(A1:H1,AQ2+1)</f>
        <v>100</v>
      </c>
      <c r="AR4">
        <f>SUMIF(G:G,"X",X:X)</f>
        <v>38</v>
      </c>
      <c r="AS4">
        <f>AR4/AQ4 *100</f>
        <v>38</v>
      </c>
    </row>
    <row r="5" spans="1:61" ht="21" customHeight="1" thickBot="1" x14ac:dyDescent="0.4">
      <c r="A5" s="5" t="s">
        <v>46</v>
      </c>
      <c r="B5" s="5"/>
      <c r="C5" s="5" t="s">
        <v>46</v>
      </c>
      <c r="D5" s="5"/>
      <c r="E5" s="5" t="s">
        <v>46</v>
      </c>
      <c r="F5" s="5"/>
      <c r="G5" t="s">
        <v>46</v>
      </c>
      <c r="J5" s="236" t="s">
        <v>56</v>
      </c>
      <c r="K5" s="236"/>
      <c r="L5" s="236"/>
      <c r="M5" s="236"/>
      <c r="N5" s="236"/>
      <c r="O5" s="236"/>
      <c r="P5" s="236"/>
      <c r="Q5" s="236"/>
      <c r="R5" s="236"/>
      <c r="S5" s="236"/>
      <c r="T5" s="234"/>
      <c r="Z5"/>
      <c r="AA5"/>
      <c r="AB5"/>
    </row>
    <row r="6" spans="1:61" ht="16.5" thickBot="1" x14ac:dyDescent="0.4">
      <c r="A6" s="5" t="s">
        <v>46</v>
      </c>
      <c r="B6" s="5"/>
      <c r="C6" s="5" t="s">
        <v>46</v>
      </c>
      <c r="D6" s="5"/>
      <c r="E6" s="5" t="s">
        <v>46</v>
      </c>
      <c r="F6" s="5"/>
      <c r="G6" t="s">
        <v>46</v>
      </c>
      <c r="J6" s="237" t="s">
        <v>57</v>
      </c>
      <c r="K6" s="236" t="s">
        <v>58</v>
      </c>
      <c r="L6" s="236"/>
      <c r="M6" s="236" t="s">
        <v>59</v>
      </c>
      <c r="N6" s="237" t="s">
        <v>126</v>
      </c>
      <c r="O6" s="237" t="s">
        <v>60</v>
      </c>
      <c r="P6" s="236" t="s">
        <v>486</v>
      </c>
      <c r="Q6" s="236"/>
      <c r="R6" s="236"/>
      <c r="S6" s="237" t="s">
        <v>61</v>
      </c>
      <c r="T6" s="234"/>
      <c r="Z6"/>
      <c r="AA6"/>
      <c r="AB6"/>
      <c r="AC6" t="s">
        <v>296</v>
      </c>
      <c r="AE6" s="80">
        <v>2</v>
      </c>
      <c r="AM6" t="s">
        <v>295</v>
      </c>
      <c r="AN6" t="s">
        <v>297</v>
      </c>
      <c r="BG6" t="str">
        <f>" (No aplica por "&amp;AJ1 &amp;")"</f>
        <v xml:space="preserve"> (No aplica por Art 16)</v>
      </c>
    </row>
    <row r="7" spans="1:61" ht="32.5" thickBot="1" x14ac:dyDescent="0.4">
      <c r="A7" s="5" t="s">
        <v>46</v>
      </c>
      <c r="B7" s="5"/>
      <c r="C7" s="5" t="s">
        <v>46</v>
      </c>
      <c r="D7" s="5"/>
      <c r="E7" s="5" t="s">
        <v>46</v>
      </c>
      <c r="F7" s="5"/>
      <c r="G7" t="s">
        <v>46</v>
      </c>
      <c r="J7" s="237"/>
      <c r="K7" s="236"/>
      <c r="L7" s="236"/>
      <c r="M7" s="236"/>
      <c r="N7" s="237"/>
      <c r="O7" s="237"/>
      <c r="P7" s="188" t="s">
        <v>62</v>
      </c>
      <c r="Q7" s="188" t="s">
        <v>3</v>
      </c>
      <c r="R7" s="188" t="s">
        <v>1</v>
      </c>
      <c r="S7" s="237"/>
      <c r="T7" s="235"/>
      <c r="U7" s="121"/>
      <c r="V7" s="4"/>
      <c r="W7" s="4"/>
      <c r="X7" s="4"/>
      <c r="Y7" s="4"/>
      <c r="Z7" t="s">
        <v>268</v>
      </c>
      <c r="AA7" t="s">
        <v>270</v>
      </c>
      <c r="AB7" t="s">
        <v>269</v>
      </c>
      <c r="AC7" s="56" t="s">
        <v>261</v>
      </c>
      <c r="AD7" s="57" t="s">
        <v>298</v>
      </c>
      <c r="AE7" s="57" t="s">
        <v>266</v>
      </c>
      <c r="AF7" s="57" t="s">
        <v>0</v>
      </c>
      <c r="AG7" s="57" t="s">
        <v>262</v>
      </c>
      <c r="AH7" s="57" t="s">
        <v>263</v>
      </c>
      <c r="AI7" s="57" t="s">
        <v>264</v>
      </c>
      <c r="AJ7" s="57" t="s">
        <v>300</v>
      </c>
      <c r="AK7" s="67" t="s">
        <v>299</v>
      </c>
      <c r="AM7" t="s">
        <v>261</v>
      </c>
      <c r="AN7" s="23" t="s">
        <v>265</v>
      </c>
      <c r="AO7" s="23" t="s">
        <v>266</v>
      </c>
      <c r="AP7" s="23" t="s">
        <v>575</v>
      </c>
      <c r="AQ7" s="23" t="s">
        <v>576</v>
      </c>
      <c r="AR7" t="s">
        <v>264</v>
      </c>
      <c r="AY7">
        <v>51</v>
      </c>
      <c r="AZ7">
        <v>52</v>
      </c>
      <c r="BA7">
        <v>53</v>
      </c>
      <c r="BB7">
        <v>54</v>
      </c>
      <c r="BC7">
        <v>55</v>
      </c>
      <c r="BD7">
        <v>56</v>
      </c>
      <c r="BE7">
        <v>57</v>
      </c>
      <c r="BF7">
        <v>58</v>
      </c>
      <c r="BG7">
        <v>59</v>
      </c>
      <c r="BH7">
        <v>60</v>
      </c>
      <c r="BI7">
        <v>61</v>
      </c>
    </row>
    <row r="8" spans="1:61" ht="50.15" customHeight="1" thickBot="1" x14ac:dyDescent="0.4">
      <c r="A8" s="5" t="s">
        <v>5</v>
      </c>
      <c r="B8" s="5">
        <f>$N8</f>
        <v>0.5</v>
      </c>
      <c r="C8" s="5"/>
      <c r="D8" s="5"/>
      <c r="E8" s="5" t="s">
        <v>5</v>
      </c>
      <c r="F8" s="5">
        <f>$N8</f>
        <v>0.5</v>
      </c>
      <c r="G8" t="s">
        <v>46</v>
      </c>
      <c r="I8" s="93">
        <v>1</v>
      </c>
      <c r="J8" s="238" t="s">
        <v>4</v>
      </c>
      <c r="K8" s="239" t="s">
        <v>479</v>
      </c>
      <c r="L8" s="240" t="s">
        <v>472</v>
      </c>
      <c r="M8" s="189" t="str">
        <f>"1.1.1. Responsable del Sistema de Gestión de Seguridad y Salud en el Trabajo SG-SST"&amp;BG8</f>
        <v>1.1.1. Responsable del Sistema de Gestión de Seguridad y Salud en el Trabajo SG-SST</v>
      </c>
      <c r="N8" s="190">
        <v>0.5</v>
      </c>
      <c r="O8" s="241">
        <v>4</v>
      </c>
      <c r="P8" s="190" t="s">
        <v>5</v>
      </c>
      <c r="Q8" s="190"/>
      <c r="R8" s="190"/>
      <c r="S8" s="242">
        <f>SUM(X8:X15)</f>
        <v>4</v>
      </c>
      <c r="T8" s="205" t="s">
        <v>658</v>
      </c>
      <c r="U8" s="122">
        <v>1</v>
      </c>
      <c r="V8" s="2">
        <f>COUNTA(P8:R8)</f>
        <v>1</v>
      </c>
      <c r="W8" s="2">
        <f>IF(V8&lt;&gt;1,0,1)</f>
        <v>1</v>
      </c>
      <c r="X8" s="2">
        <f>IF(OR(P8="x",R8="x"),N8,0)*W8</f>
        <v>0.5</v>
      </c>
      <c r="Y8" s="2" t="str">
        <f>LEFT(M8,5)</f>
        <v>1.1.1</v>
      </c>
      <c r="Z8" s="269">
        <f>S8/O8</f>
        <v>1</v>
      </c>
      <c r="AA8" s="268">
        <f>(S8+S16)/(O8+O16)</f>
        <v>0.8</v>
      </c>
      <c r="AB8" s="267">
        <f>(S8+S16+S19)/(O8+O16+O19)</f>
        <v>0.6</v>
      </c>
      <c r="AC8" s="58">
        <v>1</v>
      </c>
      <c r="AD8" t="str">
        <f>L2</f>
        <v xml:space="preserve">Alcaldia del Carmen de Viboral </v>
      </c>
      <c r="AE8" s="65">
        <f>S3</f>
        <v>45449</v>
      </c>
      <c r="AF8" s="55" t="s">
        <v>6</v>
      </c>
      <c r="AG8" s="55" t="s">
        <v>7</v>
      </c>
      <c r="AH8" s="55" t="s">
        <v>8</v>
      </c>
      <c r="AI8" s="55" t="s">
        <v>63</v>
      </c>
      <c r="AJ8" t="str">
        <f>IF(W8=0,"Sin valorar",IF(P8="x","Si",IF(Q8="x","No",IF(R8="X","No aplica","Sin valorar"))))</f>
        <v>Si</v>
      </c>
      <c r="AK8" s="68">
        <f>X8</f>
        <v>0.5</v>
      </c>
      <c r="AL8" t="str">
        <f>IF(T8="","",T8)</f>
        <v xml:space="preserve">Mary Luz Negrete Ramos. Profesional en salud ocupacional. Licencia S201500007306 renovacion 05/03/2015 de la Gobernacion de Antioquia (secretaria de salud). Carta de asignación que se camvbia cada cambio de gobierno (ultima 22/01/2024). </v>
      </c>
      <c r="AM8" t="str">
        <f t="shared" ref="AM8:AM39" si="0">Y8</f>
        <v>1.1.1</v>
      </c>
      <c r="AN8" t="str">
        <f>IF(AJ8="Si","Cumple",IF(AJ8="No","No cumple",AJ8))</f>
        <v>Cumple</v>
      </c>
      <c r="AO8" t="str">
        <f>TEXT(DAY(S3),"00")&amp;"/"&amp;TEXT(MONTH(S3),"00")&amp;"/"&amp;YEAR(S3)</f>
        <v>06/06/2024</v>
      </c>
      <c r="AP8" t="str">
        <f>IF(T8="","",T8)</f>
        <v xml:space="preserve">Mary Luz Negrete Ramos. Profesional en salud ocupacional. Licencia S201500007306 renovacion 05/03/2015 de la Gobernacion de Antioquia (secretaria de salud). Carta de asignación que se camvbia cada cambio de gobierno (ultima 22/01/2024). </v>
      </c>
      <c r="AQ8" t="str">
        <f>IF(AR8=1,$AJ$1&amp;"/No apl",$AJ$1&amp;"/Apl")</f>
        <v>Art 16/No apl</v>
      </c>
      <c r="AR8" s="82">
        <v>1</v>
      </c>
      <c r="AW8" s="82">
        <v>7</v>
      </c>
      <c r="BA8" s="5" t="s">
        <v>305</v>
      </c>
      <c r="BB8" s="5" t="str">
        <f>IF(BA8="Si","X","")</f>
        <v>X</v>
      </c>
      <c r="BC8" s="5" t="str">
        <f>IF(BA8="No","X","")</f>
        <v/>
      </c>
      <c r="BD8" s="5" t="str">
        <f>IF(BA8="No aplica","X","")</f>
        <v/>
      </c>
      <c r="BF8" s="5"/>
      <c r="BG8" s="5" t="str">
        <f>IF(V8&gt;1,"  (DEBE SELECCIONAR SÓLO UNA OPCIÓN)",IF(BF8=1,$BG$6,""))</f>
        <v/>
      </c>
    </row>
    <row r="9" spans="1:61" ht="50.15" customHeight="1" thickBot="1" x14ac:dyDescent="0.4">
      <c r="A9" s="5"/>
      <c r="B9" s="5"/>
      <c r="C9" s="5"/>
      <c r="D9" s="5"/>
      <c r="E9" s="5"/>
      <c r="F9" s="5"/>
      <c r="G9" t="s">
        <v>46</v>
      </c>
      <c r="I9" s="93">
        <v>2</v>
      </c>
      <c r="J9" s="238"/>
      <c r="K9" s="239"/>
      <c r="L9" s="240"/>
      <c r="M9" s="189" t="str">
        <f>"1.1.2 Responsabilidades en el Sistema de Gestión de Seguridad y Salud en el Trabajo – SG-SST"&amp;BG9</f>
        <v>1.1.2 Responsabilidades en el Sistema de Gestión de Seguridad y Salud en el Trabajo – SG-SST</v>
      </c>
      <c r="N9" s="190">
        <v>0.5</v>
      </c>
      <c r="O9" s="241"/>
      <c r="P9" s="190" t="s">
        <v>5</v>
      </c>
      <c r="Q9" s="190"/>
      <c r="R9" s="190"/>
      <c r="S9" s="243"/>
      <c r="T9" s="205" t="s">
        <v>659</v>
      </c>
      <c r="U9" s="120">
        <v>2</v>
      </c>
      <c r="V9" s="2">
        <f t="shared" ref="V9:V67" si="1">COUNTA(P9:R9)</f>
        <v>1</v>
      </c>
      <c r="W9" s="2">
        <f t="shared" ref="W9:W67" si="2">IF(V9&lt;&gt;1,0,1)</f>
        <v>1</v>
      </c>
      <c r="X9" s="2">
        <f t="shared" ref="X9:X67" si="3">IF(OR(P9="x",R9="x"),N9,0)*W9</f>
        <v>0.5</v>
      </c>
      <c r="Y9" s="2" t="str">
        <f t="shared" ref="Y9:Y67" si="4">LEFT(M9,5)</f>
        <v>1.1.2</v>
      </c>
      <c r="Z9" s="270"/>
      <c r="AA9" s="268"/>
      <c r="AB9" s="267"/>
      <c r="AC9" s="58">
        <v>2</v>
      </c>
      <c r="AD9" t="str">
        <f>AD8</f>
        <v xml:space="preserve">Alcaldia del Carmen de Viboral </v>
      </c>
      <c r="AE9" s="65">
        <f>AE8</f>
        <v>45449</v>
      </c>
      <c r="AF9" t="s">
        <v>6</v>
      </c>
      <c r="AG9" t="s">
        <v>7</v>
      </c>
      <c r="AH9" t="s">
        <v>8</v>
      </c>
      <c r="AI9" s="55" t="s">
        <v>64</v>
      </c>
      <c r="AJ9" t="str">
        <f t="shared" ref="AJ9:AJ67" si="5">IF(W9=0,"Sin valorar",IF(P9="x","Si",IF(Q9="x","No",IF(R9="X","No aplica","Sin valorar"))))</f>
        <v>Si</v>
      </c>
      <c r="AK9" s="68">
        <f t="shared" ref="AK9:AK67" si="6">X9</f>
        <v>0.5</v>
      </c>
      <c r="AL9" t="str">
        <f t="shared" ref="AL9:AL67" si="7">IF(T9="","",T9)</f>
        <v xml:space="preserve">Se encuentran definidas para todos los niveles de la empresa, se divulgan, se actualizan, y se entregan para firma. Pendiente las responsabilidades de contratistas (revisión por el area juridica), ya que se tiene en cuenta los estudios previos las obligaciones del contratista. </v>
      </c>
      <c r="AM9" t="str">
        <f t="shared" si="0"/>
        <v>1.1.2</v>
      </c>
      <c r="AN9" t="str">
        <f t="shared" ref="AN9:AN67" si="8">IF(AJ9="Si","Cumple",IF(AJ9="No","No cumple",AJ9))</f>
        <v>Cumple</v>
      </c>
      <c r="AO9" t="str">
        <f>AO8</f>
        <v>06/06/2024</v>
      </c>
      <c r="AP9" t="str">
        <f t="shared" ref="AP9:AP67" si="9">IF(T9="","",T9)</f>
        <v xml:space="preserve">Se encuentran definidas para todos los niveles de la empresa, se divulgan, se actualizan, y se entregan para firma. Pendiente las responsabilidades de contratistas (revisión por el area juridica), ya que se tiene en cuenta los estudios previos las obligaciones del contratista. </v>
      </c>
      <c r="AQ9" t="str">
        <f t="shared" ref="AQ9:AQ67" si="10">IF(AR9=1,$AJ$1&amp;"/No apl",$AJ$1&amp;"/Apl")</f>
        <v>Art 16/No apl</v>
      </c>
      <c r="AR9" s="82">
        <v>1</v>
      </c>
      <c r="AT9" s="65"/>
      <c r="AW9" t="str">
        <f>VLOOKUP(AW8,I8:M67,5,0)</f>
        <v>1.1.7 Capacitación COPASST</v>
      </c>
      <c r="BA9" s="5" t="s">
        <v>305</v>
      </c>
      <c r="BB9" s="5" t="str">
        <f t="shared" ref="BB9:BB67" si="11">IF(BA9="Si","X","")</f>
        <v>X</v>
      </c>
      <c r="BC9" s="5" t="str">
        <f t="shared" ref="BC9:BC67" si="12">IF(BA9="No","X","")</f>
        <v/>
      </c>
      <c r="BD9" s="5" t="str">
        <f t="shared" ref="BD9:BD67" si="13">IF(BA9="No aplica","X","")</f>
        <v/>
      </c>
      <c r="BF9" s="5"/>
      <c r="BG9" s="5" t="str">
        <f t="shared" ref="BG9:BG67" si="14">IF(V9&gt;1,"  (DEBE SELECCIONAR SÓLO UNA OPCIÓN)",IF(BF9=1,$BG$6,""))</f>
        <v/>
      </c>
    </row>
    <row r="10" spans="1:61" ht="50.15" customHeight="1" thickBot="1" x14ac:dyDescent="0.4">
      <c r="A10" s="5"/>
      <c r="B10" s="5"/>
      <c r="C10" s="5"/>
      <c r="D10" s="5"/>
      <c r="E10" s="5" t="s">
        <v>5</v>
      </c>
      <c r="F10" s="5">
        <f>$N10</f>
        <v>0.5</v>
      </c>
      <c r="G10" t="s">
        <v>46</v>
      </c>
      <c r="I10" s="93">
        <v>3</v>
      </c>
      <c r="J10" s="238"/>
      <c r="K10" s="239"/>
      <c r="L10" s="240"/>
      <c r="M10" s="189" t="str">
        <f>"1.1.3 Asignación de recursos para el Sistema de Gestión en Seguridad y Salud en el Trabajo – SG-SST"&amp;BG10</f>
        <v>1.1.3 Asignación de recursos para el Sistema de Gestión en Seguridad y Salud en el Trabajo – SG-SST</v>
      </c>
      <c r="N10" s="190">
        <v>0.5</v>
      </c>
      <c r="O10" s="241"/>
      <c r="P10" s="190" t="s">
        <v>5</v>
      </c>
      <c r="Q10" s="190"/>
      <c r="R10" s="190"/>
      <c r="S10" s="243"/>
      <c r="T10" s="205" t="s">
        <v>660</v>
      </c>
      <c r="U10" s="122">
        <v>3</v>
      </c>
      <c r="V10" s="2">
        <f t="shared" si="1"/>
        <v>1</v>
      </c>
      <c r="W10" s="2">
        <f t="shared" si="2"/>
        <v>1</v>
      </c>
      <c r="X10" s="2">
        <f t="shared" si="3"/>
        <v>0.5</v>
      </c>
      <c r="Y10" s="2" t="str">
        <f t="shared" si="4"/>
        <v>1.1.3</v>
      </c>
      <c r="Z10" s="270"/>
      <c r="AA10" s="268"/>
      <c r="AB10" s="267"/>
      <c r="AC10" s="58">
        <v>3</v>
      </c>
      <c r="AD10" t="str">
        <f t="shared" ref="AD10:AD71" si="15">AD9</f>
        <v xml:space="preserve">Alcaldia del Carmen de Viboral </v>
      </c>
      <c r="AE10" s="65">
        <f t="shared" ref="AE10:AE67" si="16">AE9</f>
        <v>45449</v>
      </c>
      <c r="AF10" t="s">
        <v>6</v>
      </c>
      <c r="AG10" t="s">
        <v>7</v>
      </c>
      <c r="AH10" t="s">
        <v>8</v>
      </c>
      <c r="AI10" s="55" t="s">
        <v>65</v>
      </c>
      <c r="AJ10" t="str">
        <f t="shared" si="5"/>
        <v>Si</v>
      </c>
      <c r="AK10" s="68">
        <f t="shared" si="6"/>
        <v>0.5</v>
      </c>
      <c r="AL10" t="str">
        <f t="shared" si="7"/>
        <v xml:space="preserve">Se tiene definido matriz de recursos con todos los items especificos que se requieren para el cumplimiento de las actividades del SG-SST y se tiene carta de asignación de recursos definida (esta pendiente por firma). </v>
      </c>
      <c r="AM10" t="str">
        <f t="shared" si="0"/>
        <v>1.1.3</v>
      </c>
      <c r="AN10" t="str">
        <f t="shared" si="8"/>
        <v>Cumple</v>
      </c>
      <c r="AO10" t="str">
        <f t="shared" ref="AO10:AO67" si="17">AO9</f>
        <v>06/06/2024</v>
      </c>
      <c r="AP10" t="str">
        <f t="shared" si="9"/>
        <v xml:space="preserve">Se tiene definido matriz de recursos con todos los items especificos que se requieren para el cumplimiento de las actividades del SG-SST y se tiene carta de asignación de recursos definida (esta pendiente por firma). </v>
      </c>
      <c r="AQ10" t="str">
        <f t="shared" si="10"/>
        <v>Art 16/No apl</v>
      </c>
      <c r="AR10" s="82">
        <v>1</v>
      </c>
      <c r="AT10" s="65"/>
      <c r="AV10">
        <f>Mnu!X12</f>
        <v>2</v>
      </c>
      <c r="AW10" t="str">
        <f>VLOOKUP($AW$8,ModVer!$A$1:$M$60,AV10,0)</f>
        <v>Capacitación de los integrantes del COPASST</v>
      </c>
      <c r="AX10" t="str">
        <f>IFERROR(AW10,1)</f>
        <v>Capacitación de los integrantes del COPASST</v>
      </c>
      <c r="BA10" s="5" t="s">
        <v>305</v>
      </c>
      <c r="BB10" s="5" t="str">
        <f t="shared" si="11"/>
        <v>X</v>
      </c>
      <c r="BC10" s="5" t="str">
        <f t="shared" si="12"/>
        <v/>
      </c>
      <c r="BD10" s="5" t="str">
        <f t="shared" si="13"/>
        <v/>
      </c>
      <c r="BF10" s="5"/>
      <c r="BG10" s="5" t="str">
        <f t="shared" si="14"/>
        <v/>
      </c>
    </row>
    <row r="11" spans="1:61" ht="50.15" customHeight="1" thickBot="1" x14ac:dyDescent="0.4">
      <c r="A11" s="5" t="s">
        <v>5</v>
      </c>
      <c r="B11" s="5">
        <f>$N11</f>
        <v>0.5</v>
      </c>
      <c r="C11" s="5"/>
      <c r="D11" s="5"/>
      <c r="E11" s="5" t="s">
        <v>5</v>
      </c>
      <c r="F11" s="5">
        <f>$N11</f>
        <v>0.5</v>
      </c>
      <c r="G11" t="s">
        <v>46</v>
      </c>
      <c r="I11" s="93">
        <v>4</v>
      </c>
      <c r="J11" s="238"/>
      <c r="K11" s="239"/>
      <c r="L11" s="240"/>
      <c r="M11" s="189" t="str">
        <f>"1.1.4 Afiliación al Sistema General de Riesgos Laborales"&amp;BG11</f>
        <v>1.1.4 Afiliación al Sistema General de Riesgos Laborales</v>
      </c>
      <c r="N11" s="190">
        <v>0.5</v>
      </c>
      <c r="O11" s="241"/>
      <c r="P11" s="190" t="s">
        <v>5</v>
      </c>
      <c r="Q11" s="190"/>
      <c r="R11" s="190"/>
      <c r="S11" s="243"/>
      <c r="T11" s="205"/>
      <c r="U11" s="120">
        <v>4</v>
      </c>
      <c r="V11" s="2">
        <f t="shared" si="1"/>
        <v>1</v>
      </c>
      <c r="W11" s="2">
        <f t="shared" si="2"/>
        <v>1</v>
      </c>
      <c r="X11" s="2">
        <f t="shared" si="3"/>
        <v>0.5</v>
      </c>
      <c r="Y11" s="2" t="str">
        <f t="shared" si="4"/>
        <v>1.1.4</v>
      </c>
      <c r="Z11" s="270"/>
      <c r="AA11" s="268"/>
      <c r="AB11" s="267"/>
      <c r="AC11" s="58">
        <v>4</v>
      </c>
      <c r="AD11" t="str">
        <f t="shared" si="15"/>
        <v xml:space="preserve">Alcaldia del Carmen de Viboral </v>
      </c>
      <c r="AE11" s="65">
        <f t="shared" si="16"/>
        <v>45449</v>
      </c>
      <c r="AF11" t="s">
        <v>6</v>
      </c>
      <c r="AG11" t="s">
        <v>7</v>
      </c>
      <c r="AH11" t="s">
        <v>8</v>
      </c>
      <c r="AI11" s="55" t="s">
        <v>9</v>
      </c>
      <c r="AJ11" t="str">
        <f t="shared" si="5"/>
        <v>Si</v>
      </c>
      <c r="AK11" s="68">
        <f t="shared" si="6"/>
        <v>0.5</v>
      </c>
      <c r="AL11" t="str">
        <f t="shared" si="7"/>
        <v/>
      </c>
      <c r="AM11" t="str">
        <f t="shared" si="0"/>
        <v>1.1.4</v>
      </c>
      <c r="AN11" t="str">
        <f t="shared" si="8"/>
        <v>Cumple</v>
      </c>
      <c r="AO11" t="str">
        <f t="shared" si="17"/>
        <v>06/06/2024</v>
      </c>
      <c r="AP11" t="str">
        <f t="shared" si="9"/>
        <v/>
      </c>
      <c r="AQ11" t="str">
        <f t="shared" si="10"/>
        <v>Art 16/No apl</v>
      </c>
      <c r="AR11" s="82">
        <v>1</v>
      </c>
      <c r="AT11" s="65"/>
      <c r="AV11">
        <f>AV10+1</f>
        <v>3</v>
      </c>
      <c r="AW11" t="str">
        <f>VLOOKUP($AW$8,ModVer!$A$1:$M$60,AV11,0)</f>
        <v>Capacitar a los  integrantes del COPASST para el cumplimiento efectivo de las responsabilidades que les asigna la ley.</v>
      </c>
      <c r="AX11" t="str">
        <f t="shared" ref="AX11:AX12" si="18">IFERROR(AW11,1)</f>
        <v>Capacitar a los  integrantes del COPASST para el cumplimiento efectivo de las responsabilidades que les asigna la ley.</v>
      </c>
      <c r="BA11" s="5" t="s">
        <v>305</v>
      </c>
      <c r="BB11" s="5" t="str">
        <f t="shared" si="11"/>
        <v>X</v>
      </c>
      <c r="BC11" s="5" t="str">
        <f t="shared" si="12"/>
        <v/>
      </c>
      <c r="BD11" s="5" t="str">
        <f t="shared" si="13"/>
        <v/>
      </c>
      <c r="BF11" s="5"/>
      <c r="BG11" s="5" t="str">
        <f t="shared" si="14"/>
        <v/>
      </c>
    </row>
    <row r="12" spans="1:61" ht="50.15" customHeight="1" thickBot="1" x14ac:dyDescent="0.4">
      <c r="A12" s="5"/>
      <c r="B12" s="5"/>
      <c r="C12" s="5"/>
      <c r="D12" s="5"/>
      <c r="E12" s="5"/>
      <c r="F12" s="5"/>
      <c r="G12" t="s">
        <v>46</v>
      </c>
      <c r="I12" s="93">
        <v>5</v>
      </c>
      <c r="J12" s="238"/>
      <c r="K12" s="239"/>
      <c r="L12" s="240"/>
      <c r="M12" s="189" t="str">
        <f>"1.1.5 Identificación de trabajadores de alto riesgo y cotización de pensión especial"&amp;BG12</f>
        <v>1.1.5 Identificación de trabajadores de alto riesgo y cotización de pensión especial</v>
      </c>
      <c r="N12" s="190">
        <v>0.5</v>
      </c>
      <c r="O12" s="241"/>
      <c r="P12" s="190"/>
      <c r="Q12" s="190"/>
      <c r="R12" s="190" t="s">
        <v>5</v>
      </c>
      <c r="S12" s="243"/>
      <c r="T12" s="205"/>
      <c r="U12" s="122">
        <v>5</v>
      </c>
      <c r="V12" s="2">
        <f t="shared" si="1"/>
        <v>1</v>
      </c>
      <c r="W12" s="2">
        <f t="shared" si="2"/>
        <v>1</v>
      </c>
      <c r="X12" s="2">
        <f t="shared" si="3"/>
        <v>0.5</v>
      </c>
      <c r="Y12" s="2" t="str">
        <f t="shared" si="4"/>
        <v>1.1.5</v>
      </c>
      <c r="Z12" s="270"/>
      <c r="AA12" s="268"/>
      <c r="AB12" s="267"/>
      <c r="AC12" s="58">
        <v>5</v>
      </c>
      <c r="AD12" t="str">
        <f t="shared" si="15"/>
        <v xml:space="preserve">Alcaldia del Carmen de Viboral </v>
      </c>
      <c r="AE12" s="65">
        <f t="shared" si="16"/>
        <v>45449</v>
      </c>
      <c r="AF12" t="s">
        <v>6</v>
      </c>
      <c r="AG12" t="s">
        <v>7</v>
      </c>
      <c r="AH12" t="s">
        <v>8</v>
      </c>
      <c r="AI12" s="55" t="s">
        <v>108</v>
      </c>
      <c r="AJ12" t="str">
        <f t="shared" si="5"/>
        <v>No aplica</v>
      </c>
      <c r="AK12" s="68">
        <f t="shared" si="6"/>
        <v>0.5</v>
      </c>
      <c r="AL12" t="str">
        <f t="shared" si="7"/>
        <v/>
      </c>
      <c r="AM12" t="str">
        <f t="shared" si="0"/>
        <v>1.1.5</v>
      </c>
      <c r="AN12" t="str">
        <f t="shared" si="8"/>
        <v>No aplica</v>
      </c>
      <c r="AO12" t="str">
        <f t="shared" si="17"/>
        <v>06/06/2024</v>
      </c>
      <c r="AP12" t="str">
        <f t="shared" si="9"/>
        <v/>
      </c>
      <c r="AQ12" t="str">
        <f t="shared" si="10"/>
        <v>Art 16/No apl</v>
      </c>
      <c r="AR12" s="82">
        <v>1</v>
      </c>
      <c r="AT12" s="65"/>
      <c r="AV12">
        <f>AV11+1</f>
        <v>4</v>
      </c>
      <c r="AW12" t="str">
        <f>VLOOKUP($AW$8,ModVer!$A$1:$M$60,AV12,0)</f>
        <v>Solicitar documentos que evidencien las actividades de capacitación brindada a los integrantes del COPASST.</v>
      </c>
      <c r="AX12" t="str">
        <f t="shared" si="18"/>
        <v>Solicitar documentos que evidencien las actividades de capacitación brindada a los integrantes del COPASST.</v>
      </c>
      <c r="BA12" s="5" t="s">
        <v>306</v>
      </c>
      <c r="BB12" s="5" t="str">
        <f t="shared" si="11"/>
        <v/>
      </c>
      <c r="BC12" s="5" t="str">
        <f t="shared" si="12"/>
        <v>X</v>
      </c>
      <c r="BD12" s="5" t="str">
        <f t="shared" si="13"/>
        <v/>
      </c>
      <c r="BF12" s="5"/>
      <c r="BG12" s="5" t="str">
        <f t="shared" si="14"/>
        <v/>
      </c>
    </row>
    <row r="13" spans="1:61" ht="50.15" customHeight="1" thickBot="1" x14ac:dyDescent="0.4">
      <c r="A13" s="5"/>
      <c r="B13" s="5"/>
      <c r="C13" s="5"/>
      <c r="D13" s="5"/>
      <c r="E13" s="5" t="s">
        <v>5</v>
      </c>
      <c r="F13" s="5">
        <f>$N13</f>
        <v>0.5</v>
      </c>
      <c r="G13" t="s">
        <v>46</v>
      </c>
      <c r="I13" s="93">
        <v>6</v>
      </c>
      <c r="J13" s="238"/>
      <c r="K13" s="239"/>
      <c r="L13" s="240"/>
      <c r="M13" s="189" t="str">
        <f>"1.1.6 Conformación COPASST"&amp;BG13</f>
        <v>1.1.6 Conformación COPASST</v>
      </c>
      <c r="N13" s="190">
        <v>0.5</v>
      </c>
      <c r="O13" s="241"/>
      <c r="P13" s="190" t="s">
        <v>5</v>
      </c>
      <c r="Q13" s="190"/>
      <c r="R13" s="190"/>
      <c r="S13" s="243"/>
      <c r="T13" s="205" t="s">
        <v>661</v>
      </c>
      <c r="U13" s="120">
        <v>6</v>
      </c>
      <c r="V13" s="2">
        <f t="shared" si="1"/>
        <v>1</v>
      </c>
      <c r="W13" s="2">
        <f t="shared" si="2"/>
        <v>1</v>
      </c>
      <c r="X13" s="2">
        <f t="shared" si="3"/>
        <v>0.5</v>
      </c>
      <c r="Y13" s="2" t="str">
        <f t="shared" si="4"/>
        <v>1.1.6</v>
      </c>
      <c r="Z13" s="270"/>
      <c r="AA13" s="268"/>
      <c r="AB13" s="267"/>
      <c r="AC13" s="58">
        <v>6</v>
      </c>
      <c r="AD13" t="str">
        <f t="shared" si="15"/>
        <v xml:space="preserve">Alcaldia del Carmen de Viboral </v>
      </c>
      <c r="AE13" s="65">
        <f t="shared" si="16"/>
        <v>45449</v>
      </c>
      <c r="AF13" t="s">
        <v>6</v>
      </c>
      <c r="AG13" t="s">
        <v>7</v>
      </c>
      <c r="AH13" t="s">
        <v>8</v>
      </c>
      <c r="AI13" s="55" t="s">
        <v>66</v>
      </c>
      <c r="AJ13" t="str">
        <f t="shared" si="5"/>
        <v>Si</v>
      </c>
      <c r="AK13" s="68">
        <f t="shared" si="6"/>
        <v>0.5</v>
      </c>
      <c r="AL13" t="str">
        <f t="shared" si="7"/>
        <v xml:space="preserve">Conformacion acorde a resolución del 20/09/2022. </v>
      </c>
      <c r="AM13" t="str">
        <f t="shared" si="0"/>
        <v>1.1.6</v>
      </c>
      <c r="AN13" t="str">
        <f t="shared" si="8"/>
        <v>Cumple</v>
      </c>
      <c r="AO13" t="str">
        <f t="shared" si="17"/>
        <v>06/06/2024</v>
      </c>
      <c r="AP13" t="str">
        <f t="shared" si="9"/>
        <v xml:space="preserve">Conformacion acorde a resolución del 20/09/2022. </v>
      </c>
      <c r="AQ13" t="str">
        <f t="shared" si="10"/>
        <v>Art 16/No apl</v>
      </c>
      <c r="AR13" s="82">
        <v>1</v>
      </c>
      <c r="AT13" s="65"/>
      <c r="AX13">
        <f>SUM(AX10:AX12)</f>
        <v>0</v>
      </c>
      <c r="BA13" s="5" t="s">
        <v>306</v>
      </c>
      <c r="BB13" s="5" t="str">
        <f t="shared" si="11"/>
        <v/>
      </c>
      <c r="BC13" s="5" t="str">
        <f t="shared" si="12"/>
        <v>X</v>
      </c>
      <c r="BD13" s="5" t="str">
        <f t="shared" si="13"/>
        <v/>
      </c>
      <c r="BF13" s="5"/>
      <c r="BG13" s="5" t="str">
        <f t="shared" si="14"/>
        <v/>
      </c>
    </row>
    <row r="14" spans="1:61" ht="50.15" customHeight="1" thickBot="1" x14ac:dyDescent="0.4">
      <c r="A14" s="5"/>
      <c r="B14" s="5"/>
      <c r="C14" s="5"/>
      <c r="D14" s="5"/>
      <c r="E14" s="5"/>
      <c r="F14" s="5"/>
      <c r="G14" t="s">
        <v>46</v>
      </c>
      <c r="I14" s="93">
        <v>7</v>
      </c>
      <c r="J14" s="238"/>
      <c r="K14" s="239"/>
      <c r="L14" s="240"/>
      <c r="M14" s="189" t="str">
        <f>"1.1.7 Capacitación COPASST"&amp;BG14</f>
        <v>1.1.7 Capacitación COPASST</v>
      </c>
      <c r="N14" s="190">
        <v>0.5</v>
      </c>
      <c r="O14" s="241"/>
      <c r="P14" s="190" t="s">
        <v>5</v>
      </c>
      <c r="Q14" s="190"/>
      <c r="R14" s="190"/>
      <c r="S14" s="243"/>
      <c r="T14" s="205" t="s">
        <v>662</v>
      </c>
      <c r="U14" s="122">
        <v>7</v>
      </c>
      <c r="V14" s="2">
        <f t="shared" si="1"/>
        <v>1</v>
      </c>
      <c r="W14" s="2">
        <f t="shared" si="2"/>
        <v>1</v>
      </c>
      <c r="X14" s="2">
        <f t="shared" si="3"/>
        <v>0.5</v>
      </c>
      <c r="Y14" s="2" t="str">
        <f t="shared" si="4"/>
        <v>1.1.7</v>
      </c>
      <c r="Z14" s="270"/>
      <c r="AA14" s="268"/>
      <c r="AB14" s="267"/>
      <c r="AC14" s="58">
        <v>7</v>
      </c>
      <c r="AD14" t="str">
        <f t="shared" si="15"/>
        <v xml:space="preserve">Alcaldia del Carmen de Viboral </v>
      </c>
      <c r="AE14" s="65">
        <f t="shared" si="16"/>
        <v>45449</v>
      </c>
      <c r="AF14" t="s">
        <v>6</v>
      </c>
      <c r="AG14" t="s">
        <v>7</v>
      </c>
      <c r="AH14" t="s">
        <v>8</v>
      </c>
      <c r="AI14" s="55" t="s">
        <v>67</v>
      </c>
      <c r="AJ14" t="str">
        <f t="shared" si="5"/>
        <v>Si</v>
      </c>
      <c r="AK14" s="68">
        <f t="shared" si="6"/>
        <v>0.5</v>
      </c>
      <c r="AL14" t="str">
        <f t="shared" si="7"/>
        <v xml:space="preserve">Formacion en roles y responsabilidades, investigacion de accidentes de trabajo e inspecciones de seguridad. </v>
      </c>
      <c r="AM14" t="str">
        <f t="shared" si="0"/>
        <v>1.1.7</v>
      </c>
      <c r="AN14" t="str">
        <f t="shared" si="8"/>
        <v>Cumple</v>
      </c>
      <c r="AO14" t="str">
        <f t="shared" si="17"/>
        <v>06/06/2024</v>
      </c>
      <c r="AP14" t="str">
        <f t="shared" si="9"/>
        <v xml:space="preserve">Formacion en roles y responsabilidades, investigacion de accidentes de trabajo e inspecciones de seguridad. </v>
      </c>
      <c r="AQ14" t="str">
        <f t="shared" si="10"/>
        <v>Art 16/No apl</v>
      </c>
      <c r="AR14" s="82">
        <v>1</v>
      </c>
      <c r="AT14" s="65"/>
      <c r="AW14" t="str">
        <f>VLOOKUP($AW$8,ModVer!$A$1:$N$60,14,0)</f>
        <v xml:space="preserve">   </v>
      </c>
      <c r="BA14" s="5" t="s">
        <v>306</v>
      </c>
      <c r="BB14" s="5" t="str">
        <f t="shared" si="11"/>
        <v/>
      </c>
      <c r="BC14" s="5" t="str">
        <f t="shared" si="12"/>
        <v>X</v>
      </c>
      <c r="BD14" s="5" t="str">
        <f t="shared" si="13"/>
        <v/>
      </c>
      <c r="BF14" s="5"/>
      <c r="BG14" s="5" t="str">
        <f t="shared" si="14"/>
        <v/>
      </c>
    </row>
    <row r="15" spans="1:61" ht="50.15" customHeight="1" thickBot="1" x14ac:dyDescent="0.4">
      <c r="A15" s="5"/>
      <c r="B15" s="5"/>
      <c r="C15" s="5"/>
      <c r="D15" s="5"/>
      <c r="E15" s="5" t="s">
        <v>5</v>
      </c>
      <c r="F15" s="5">
        <f>$N15</f>
        <v>0.5</v>
      </c>
      <c r="G15" t="s">
        <v>46</v>
      </c>
      <c r="I15" s="93">
        <v>8</v>
      </c>
      <c r="J15" s="238"/>
      <c r="K15" s="239"/>
      <c r="L15" s="240"/>
      <c r="M15" s="189" t="str">
        <f>"1.1.8 Conformación Comité de Convivencia"&amp;BG15</f>
        <v>1.1.8 Conformación Comité de Convivencia</v>
      </c>
      <c r="N15" s="190">
        <v>0.5</v>
      </c>
      <c r="O15" s="241"/>
      <c r="P15" s="190" t="s">
        <v>5</v>
      </c>
      <c r="Q15" s="190"/>
      <c r="R15" s="190"/>
      <c r="S15" s="244"/>
      <c r="T15" s="205" t="s">
        <v>663</v>
      </c>
      <c r="U15" s="120">
        <v>8</v>
      </c>
      <c r="V15" s="2">
        <f t="shared" si="1"/>
        <v>1</v>
      </c>
      <c r="W15" s="2">
        <f t="shared" si="2"/>
        <v>1</v>
      </c>
      <c r="X15" s="2">
        <f t="shared" si="3"/>
        <v>0.5</v>
      </c>
      <c r="Y15" s="2" t="str">
        <f t="shared" si="4"/>
        <v>1.1.8</v>
      </c>
      <c r="Z15" s="271"/>
      <c r="AA15" s="268"/>
      <c r="AB15" s="267"/>
      <c r="AC15" s="58">
        <v>8</v>
      </c>
      <c r="AD15" t="str">
        <f t="shared" si="15"/>
        <v xml:space="preserve">Alcaldia del Carmen de Viboral </v>
      </c>
      <c r="AE15" s="65">
        <f t="shared" si="16"/>
        <v>45449</v>
      </c>
      <c r="AF15" t="s">
        <v>6</v>
      </c>
      <c r="AG15" t="s">
        <v>7</v>
      </c>
      <c r="AH15" t="s">
        <v>8</v>
      </c>
      <c r="AI15" s="55" t="s">
        <v>68</v>
      </c>
      <c r="AJ15" t="str">
        <f t="shared" si="5"/>
        <v>Si</v>
      </c>
      <c r="AK15" s="68">
        <f t="shared" si="6"/>
        <v>0.5</v>
      </c>
      <c r="AL15" t="str">
        <f t="shared" si="7"/>
        <v>Conformacion acorde a resolución del 04/01/2023</v>
      </c>
      <c r="AM15" t="str">
        <f t="shared" si="0"/>
        <v>1.1.8</v>
      </c>
      <c r="AN15" t="str">
        <f t="shared" si="8"/>
        <v>Cumple</v>
      </c>
      <c r="AO15" t="str">
        <f t="shared" si="17"/>
        <v>06/06/2024</v>
      </c>
      <c r="AP15" t="str">
        <f t="shared" si="9"/>
        <v>Conformacion acorde a resolución del 04/01/2023</v>
      </c>
      <c r="AQ15" t="str">
        <f t="shared" si="10"/>
        <v>Art 16/No apl</v>
      </c>
      <c r="AR15" s="82">
        <v>1</v>
      </c>
      <c r="AT15" s="65"/>
      <c r="BA15" s="5" t="s">
        <v>306</v>
      </c>
      <c r="BB15" s="5" t="str">
        <f t="shared" si="11"/>
        <v/>
      </c>
      <c r="BC15" s="5" t="str">
        <f t="shared" si="12"/>
        <v>X</v>
      </c>
      <c r="BD15" s="5" t="str">
        <f t="shared" si="13"/>
        <v/>
      </c>
      <c r="BF15" s="5"/>
      <c r="BG15" s="5" t="str">
        <f t="shared" si="14"/>
        <v/>
      </c>
    </row>
    <row r="16" spans="1:61" ht="50.15" customHeight="1" thickBot="1" x14ac:dyDescent="0.4">
      <c r="A16" s="5" t="s">
        <v>5</v>
      </c>
      <c r="B16" s="5">
        <f>$N16</f>
        <v>2</v>
      </c>
      <c r="C16" s="5"/>
      <c r="D16" s="5"/>
      <c r="E16" s="5" t="s">
        <v>5</v>
      </c>
      <c r="F16" s="5">
        <f>$N16</f>
        <v>2</v>
      </c>
      <c r="G16" t="s">
        <v>46</v>
      </c>
      <c r="I16" s="93">
        <v>9</v>
      </c>
      <c r="J16" s="238"/>
      <c r="K16" s="239"/>
      <c r="L16" s="240" t="s">
        <v>473</v>
      </c>
      <c r="M16" s="189" t="str">
        <f>"1.2.1 Programa Capacitación promoción y prevención – PyP"&amp;BG16</f>
        <v>1.2.1 Programa Capacitación promoción y prevención – PyP</v>
      </c>
      <c r="N16" s="190">
        <v>2</v>
      </c>
      <c r="O16" s="241">
        <v>6</v>
      </c>
      <c r="P16" s="190" t="s">
        <v>5</v>
      </c>
      <c r="Q16" s="190"/>
      <c r="R16" s="190"/>
      <c r="S16" s="245">
        <f>SUM(X16:X18)</f>
        <v>4</v>
      </c>
      <c r="T16" s="205" t="s">
        <v>664</v>
      </c>
      <c r="U16" s="122">
        <v>9</v>
      </c>
      <c r="V16" s="2">
        <f t="shared" si="1"/>
        <v>1</v>
      </c>
      <c r="W16" s="2">
        <f t="shared" si="2"/>
        <v>1</v>
      </c>
      <c r="X16" s="2">
        <f t="shared" si="3"/>
        <v>2</v>
      </c>
      <c r="Y16" s="2" t="str">
        <f t="shared" si="4"/>
        <v>1.2.1</v>
      </c>
      <c r="Z16" s="268">
        <f>S16/O16</f>
        <v>0.66666666666666663</v>
      </c>
      <c r="AA16" s="268"/>
      <c r="AB16" s="267"/>
      <c r="AC16" s="58">
        <v>9</v>
      </c>
      <c r="AD16" t="str">
        <f t="shared" si="15"/>
        <v xml:space="preserve">Alcaldia del Carmen de Viboral </v>
      </c>
      <c r="AE16" s="65">
        <f t="shared" si="16"/>
        <v>45449</v>
      </c>
      <c r="AF16" t="s">
        <v>6</v>
      </c>
      <c r="AG16" t="s">
        <v>7</v>
      </c>
      <c r="AH16" t="s">
        <v>10</v>
      </c>
      <c r="AI16" s="55" t="s">
        <v>69</v>
      </c>
      <c r="AJ16" t="str">
        <f t="shared" si="5"/>
        <v>Si</v>
      </c>
      <c r="AK16" s="68">
        <f t="shared" si="6"/>
        <v>2</v>
      </c>
      <c r="AL16" t="str">
        <f t="shared" si="7"/>
        <v xml:space="preserve">Se cuenta con plan de trabajo donde se incluyen actividades de promoción y prevención en salud. Pendiente definir un programa de promoción y prevención. </v>
      </c>
      <c r="AM16" t="str">
        <f t="shared" si="0"/>
        <v>1.2.1</v>
      </c>
      <c r="AN16" t="str">
        <f t="shared" si="8"/>
        <v>Cumple</v>
      </c>
      <c r="AO16" t="str">
        <f t="shared" si="17"/>
        <v>06/06/2024</v>
      </c>
      <c r="AP16" t="str">
        <f t="shared" si="9"/>
        <v xml:space="preserve">Se cuenta con plan de trabajo donde se incluyen actividades de promoción y prevención en salud. Pendiente definir un programa de promoción y prevención. </v>
      </c>
      <c r="AQ16" t="str">
        <f t="shared" si="10"/>
        <v>Art 16/No apl</v>
      </c>
      <c r="AR16" s="82">
        <v>1</v>
      </c>
      <c r="AT16" s="65"/>
      <c r="BA16" s="5" t="s">
        <v>306</v>
      </c>
      <c r="BB16" s="5" t="str">
        <f t="shared" si="11"/>
        <v/>
      </c>
      <c r="BC16" s="5" t="str">
        <f t="shared" si="12"/>
        <v>X</v>
      </c>
      <c r="BD16" s="5" t="str">
        <f t="shared" si="13"/>
        <v/>
      </c>
      <c r="BF16" s="5"/>
      <c r="BG16" s="5" t="str">
        <f t="shared" si="14"/>
        <v/>
      </c>
    </row>
    <row r="17" spans="1:59" ht="50.15" customHeight="1" thickBot="1" x14ac:dyDescent="0.4">
      <c r="A17" s="5"/>
      <c r="B17" s="5"/>
      <c r="C17" s="5"/>
      <c r="D17" s="5"/>
      <c r="E17" s="5"/>
      <c r="F17" s="5"/>
      <c r="G17" t="s">
        <v>46</v>
      </c>
      <c r="I17" s="93">
        <v>10</v>
      </c>
      <c r="J17" s="238"/>
      <c r="K17" s="239"/>
      <c r="L17" s="240"/>
      <c r="M17" s="189" t="str">
        <f>"1.2.2 Inducción y Reinducción en Sistema de Gestión de Seguridad y Salud en el Trabajo SG-SST, actividades de Promoción y Prevención PyP"&amp;BG17</f>
        <v>1.2.2 Inducción y Reinducción en Sistema de Gestión de Seguridad y Salud en el Trabajo SG-SST, actividades de Promoción y Prevención PyP</v>
      </c>
      <c r="N17" s="190">
        <v>2</v>
      </c>
      <c r="O17" s="241"/>
      <c r="P17" s="190"/>
      <c r="Q17" s="190" t="s">
        <v>5</v>
      </c>
      <c r="R17" s="190"/>
      <c r="S17" s="245"/>
      <c r="T17" s="205" t="s">
        <v>665</v>
      </c>
      <c r="U17" s="120">
        <v>10</v>
      </c>
      <c r="V17" s="2">
        <f t="shared" si="1"/>
        <v>1</v>
      </c>
      <c r="W17" s="2">
        <f t="shared" si="2"/>
        <v>1</v>
      </c>
      <c r="X17" s="2">
        <f t="shared" si="3"/>
        <v>0</v>
      </c>
      <c r="Y17" s="2" t="str">
        <f t="shared" si="4"/>
        <v>1.2.2</v>
      </c>
      <c r="Z17" s="268"/>
      <c r="AA17" s="268"/>
      <c r="AB17" s="267"/>
      <c r="AC17" s="58">
        <v>10</v>
      </c>
      <c r="AD17" t="str">
        <f t="shared" si="15"/>
        <v xml:space="preserve">Alcaldia del Carmen de Viboral </v>
      </c>
      <c r="AE17" s="65">
        <f t="shared" si="16"/>
        <v>45449</v>
      </c>
      <c r="AF17" t="s">
        <v>6</v>
      </c>
      <c r="AG17" t="s">
        <v>7</v>
      </c>
      <c r="AH17" t="s">
        <v>10</v>
      </c>
      <c r="AI17" s="55" t="s">
        <v>109</v>
      </c>
      <c r="AJ17" t="str">
        <f t="shared" si="5"/>
        <v>No</v>
      </c>
      <c r="AK17" s="68">
        <f t="shared" si="6"/>
        <v>0</v>
      </c>
      <c r="AL17" t="str">
        <f t="shared" si="7"/>
        <v xml:space="preserve">Se realiza el proceso de gestion humana y la induccion se evalua pero no se realiza al 100% del personal. </v>
      </c>
      <c r="AM17" t="str">
        <f t="shared" si="0"/>
        <v>1.2.2</v>
      </c>
      <c r="AN17" t="str">
        <f t="shared" si="8"/>
        <v>No cumple</v>
      </c>
      <c r="AO17" t="str">
        <f t="shared" si="17"/>
        <v>06/06/2024</v>
      </c>
      <c r="AP17" t="str">
        <f t="shared" si="9"/>
        <v xml:space="preserve">Se realiza el proceso de gestion humana y la induccion se evalua pero no se realiza al 100% del personal. </v>
      </c>
      <c r="AQ17" t="str">
        <f t="shared" si="10"/>
        <v>Art 16/No apl</v>
      </c>
      <c r="AR17" s="82">
        <v>1</v>
      </c>
      <c r="AT17" s="65"/>
      <c r="BA17" s="5" t="s">
        <v>306</v>
      </c>
      <c r="BB17" s="5" t="str">
        <f t="shared" si="11"/>
        <v/>
      </c>
      <c r="BC17" s="5" t="str">
        <f t="shared" si="12"/>
        <v>X</v>
      </c>
      <c r="BD17" s="5" t="str">
        <f t="shared" si="13"/>
        <v/>
      </c>
      <c r="BF17" s="5"/>
      <c r="BG17" s="5" t="str">
        <f t="shared" si="14"/>
        <v/>
      </c>
    </row>
    <row r="18" spans="1:59" ht="50.15" customHeight="1" thickBot="1" x14ac:dyDescent="0.4">
      <c r="A18" s="5"/>
      <c r="B18" s="5"/>
      <c r="C18" s="5"/>
      <c r="D18" s="5"/>
      <c r="E18" s="5"/>
      <c r="F18" s="5"/>
      <c r="G18" t="s">
        <v>46</v>
      </c>
      <c r="I18" s="93">
        <v>11</v>
      </c>
      <c r="J18" s="238"/>
      <c r="K18" s="239"/>
      <c r="L18" s="240"/>
      <c r="M18" s="189" t="str">
        <f>"1.2.3 Responsables del Sistema de Gestión de Seguridad y Salud en el Trabajo SG-SST con curso virtual de 50 horas"&amp;BG18</f>
        <v>1.2.3 Responsables del Sistema de Gestión de Seguridad y Salud en el Trabajo SG-SST con curso virtual de 50 horas</v>
      </c>
      <c r="N18" s="190">
        <v>2</v>
      </c>
      <c r="O18" s="241"/>
      <c r="P18" s="190" t="s">
        <v>5</v>
      </c>
      <c r="Q18" s="190"/>
      <c r="R18" s="190"/>
      <c r="S18" s="245"/>
      <c r="T18" s="205" t="s">
        <v>666</v>
      </c>
      <c r="U18" s="122">
        <v>11</v>
      </c>
      <c r="V18" s="2">
        <f t="shared" si="1"/>
        <v>1</v>
      </c>
      <c r="W18" s="2">
        <f t="shared" si="2"/>
        <v>1</v>
      </c>
      <c r="X18" s="2">
        <f t="shared" si="3"/>
        <v>2</v>
      </c>
      <c r="Y18" s="2" t="str">
        <f t="shared" si="4"/>
        <v>1.2.3</v>
      </c>
      <c r="Z18" s="268"/>
      <c r="AA18" s="268"/>
      <c r="AB18" s="267"/>
      <c r="AC18" s="58">
        <v>11</v>
      </c>
      <c r="AD18" t="str">
        <f t="shared" si="15"/>
        <v xml:space="preserve">Alcaldia del Carmen de Viboral </v>
      </c>
      <c r="AE18" s="65">
        <f t="shared" si="16"/>
        <v>45449</v>
      </c>
      <c r="AF18" t="s">
        <v>6</v>
      </c>
      <c r="AG18" t="s">
        <v>7</v>
      </c>
      <c r="AH18" t="s">
        <v>10</v>
      </c>
      <c r="AI18" s="55" t="s">
        <v>70</v>
      </c>
      <c r="AJ18" t="str">
        <f t="shared" si="5"/>
        <v>Si</v>
      </c>
      <c r="AK18" s="68">
        <f t="shared" si="6"/>
        <v>2</v>
      </c>
      <c r="AL18" t="str">
        <f t="shared" si="7"/>
        <v xml:space="preserve">La persona rrespnsable del SG-SST y el COPASST tienen el curso de 50 horas. </v>
      </c>
      <c r="AM18" t="str">
        <f t="shared" si="0"/>
        <v>1.2.3</v>
      </c>
      <c r="AN18" t="str">
        <f t="shared" si="8"/>
        <v>Cumple</v>
      </c>
      <c r="AO18" t="str">
        <f t="shared" si="17"/>
        <v>06/06/2024</v>
      </c>
      <c r="AP18" t="str">
        <f t="shared" si="9"/>
        <v xml:space="preserve">La persona rrespnsable del SG-SST y el COPASST tienen el curso de 50 horas. </v>
      </c>
      <c r="AQ18" t="str">
        <f t="shared" si="10"/>
        <v>Art 16/No apl</v>
      </c>
      <c r="AR18" s="82">
        <v>1</v>
      </c>
      <c r="AT18" s="65"/>
      <c r="BA18" s="5" t="s">
        <v>306</v>
      </c>
      <c r="BB18" s="5" t="str">
        <f t="shared" si="11"/>
        <v/>
      </c>
      <c r="BC18" s="5" t="str">
        <f t="shared" si="12"/>
        <v>X</v>
      </c>
      <c r="BD18" s="5" t="str">
        <f t="shared" si="13"/>
        <v/>
      </c>
      <c r="BF18" s="5"/>
      <c r="BG18" s="5" t="str">
        <f t="shared" si="14"/>
        <v/>
      </c>
    </row>
    <row r="19" spans="1:59" ht="50.15" customHeight="1" thickBot="1" x14ac:dyDescent="0.4">
      <c r="A19" s="5"/>
      <c r="B19" s="5"/>
      <c r="C19" s="5"/>
      <c r="D19" s="5"/>
      <c r="E19" s="5" t="s">
        <v>5</v>
      </c>
      <c r="F19" s="5">
        <f>$N19</f>
        <v>1</v>
      </c>
      <c r="G19" t="s">
        <v>46</v>
      </c>
      <c r="I19" s="93">
        <v>12</v>
      </c>
      <c r="J19" s="238"/>
      <c r="K19" s="248" t="s">
        <v>480</v>
      </c>
      <c r="L19" s="188" t="s">
        <v>165</v>
      </c>
      <c r="M19" s="191" t="str">
        <f>"2.1.1 Política del Sistema de Gestión de Seguridad y Salud en el Trabajo SG-SST firmada, fechada y comunicada al COPASST"&amp;BG19</f>
        <v>2.1.1 Política del Sistema de Gestión de Seguridad y Salud en el Trabajo SG-SST firmada, fechada y comunicada al COPASST</v>
      </c>
      <c r="N19" s="192">
        <v>1</v>
      </c>
      <c r="O19" s="246">
        <v>15</v>
      </c>
      <c r="P19" s="190" t="s">
        <v>5</v>
      </c>
      <c r="Q19" s="192"/>
      <c r="R19" s="192"/>
      <c r="S19" s="247">
        <f>SUM(X19:X29)</f>
        <v>7</v>
      </c>
      <c r="T19" s="205" t="s">
        <v>667</v>
      </c>
      <c r="U19" s="120">
        <v>12</v>
      </c>
      <c r="V19" s="2">
        <f t="shared" si="1"/>
        <v>1</v>
      </c>
      <c r="W19" s="2">
        <f t="shared" si="2"/>
        <v>1</v>
      </c>
      <c r="X19" s="2">
        <f t="shared" si="3"/>
        <v>1</v>
      </c>
      <c r="Y19" s="2" t="str">
        <f t="shared" si="4"/>
        <v>2.1.1</v>
      </c>
      <c r="Z19" s="268">
        <f>S19/O19</f>
        <v>0.46666666666666667</v>
      </c>
      <c r="AA19" s="268">
        <f>S19/O19</f>
        <v>0.46666666666666667</v>
      </c>
      <c r="AB19" s="267"/>
      <c r="AC19" s="58">
        <v>12</v>
      </c>
      <c r="AD19" t="str">
        <f t="shared" si="15"/>
        <v xml:space="preserve">Alcaldia del Carmen de Viboral </v>
      </c>
      <c r="AE19" s="65">
        <f t="shared" si="16"/>
        <v>45449</v>
      </c>
      <c r="AF19" t="s">
        <v>6</v>
      </c>
      <c r="AG19" t="s">
        <v>7</v>
      </c>
      <c r="AH19" t="s">
        <v>11</v>
      </c>
      <c r="AI19" s="55" t="s">
        <v>71</v>
      </c>
      <c r="AJ19" t="str">
        <f t="shared" si="5"/>
        <v>Si</v>
      </c>
      <c r="AK19" s="68">
        <f t="shared" si="6"/>
        <v>1</v>
      </c>
      <c r="AL19" t="str">
        <f t="shared" si="7"/>
        <v xml:space="preserve">Esta se encuentra actualizada, publicada y divulgada a traves de correos electronicos y en la inducción presencial. Pendiente en 2024 divulgarka con la actualizacion donde se integro con el vial. </v>
      </c>
      <c r="AM19" t="str">
        <f t="shared" si="0"/>
        <v>2.1.1</v>
      </c>
      <c r="AN19" t="str">
        <f t="shared" si="8"/>
        <v>Cumple</v>
      </c>
      <c r="AO19" t="str">
        <f t="shared" si="17"/>
        <v>06/06/2024</v>
      </c>
      <c r="AP19" t="str">
        <f t="shared" si="9"/>
        <v xml:space="preserve">Esta se encuentra actualizada, publicada y divulgada a traves de correos electronicos y en la inducción presencial. Pendiente en 2024 divulgarka con la actualizacion donde se integro con el vial. </v>
      </c>
      <c r="AQ19" t="str">
        <f t="shared" si="10"/>
        <v>Art 16/No apl</v>
      </c>
      <c r="AR19" s="82">
        <v>1</v>
      </c>
      <c r="AT19" s="65"/>
      <c r="BA19" s="5" t="s">
        <v>306</v>
      </c>
      <c r="BB19" s="5" t="str">
        <f t="shared" si="11"/>
        <v/>
      </c>
      <c r="BC19" s="5" t="str">
        <f t="shared" si="12"/>
        <v>X</v>
      </c>
      <c r="BD19" s="5" t="str">
        <f t="shared" si="13"/>
        <v/>
      </c>
      <c r="BF19" s="5"/>
      <c r="BG19" s="5" t="str">
        <f t="shared" si="14"/>
        <v/>
      </c>
    </row>
    <row r="20" spans="1:59" ht="50.15" customHeight="1" thickBot="1" x14ac:dyDescent="0.4">
      <c r="A20" s="5"/>
      <c r="B20" s="5"/>
      <c r="C20" s="5"/>
      <c r="D20" s="5"/>
      <c r="E20" s="5"/>
      <c r="F20" s="5"/>
      <c r="G20" t="s">
        <v>46</v>
      </c>
      <c r="I20" s="93">
        <v>13</v>
      </c>
      <c r="J20" s="238"/>
      <c r="K20" s="248"/>
      <c r="L20" s="188" t="s">
        <v>474</v>
      </c>
      <c r="M20" s="191" t="str">
        <f>"2.2.1 Objetivos definidos, claros, medibles, cuantificables, con metas, documentados, revisados del SG-SST"&amp;BG20</f>
        <v>2.2.1 Objetivos definidos, claros, medibles, cuantificables, con metas, documentados, revisados del SG-SST</v>
      </c>
      <c r="N20" s="192">
        <v>1</v>
      </c>
      <c r="O20" s="246"/>
      <c r="P20" s="192"/>
      <c r="Q20" s="192" t="s">
        <v>5</v>
      </c>
      <c r="R20" s="192"/>
      <c r="S20" s="247"/>
      <c r="T20" s="205" t="s">
        <v>668</v>
      </c>
      <c r="U20" s="122">
        <v>13</v>
      </c>
      <c r="V20" s="2">
        <f t="shared" si="1"/>
        <v>1</v>
      </c>
      <c r="W20" s="2">
        <f t="shared" si="2"/>
        <v>1</v>
      </c>
      <c r="X20" s="2">
        <f t="shared" si="3"/>
        <v>0</v>
      </c>
      <c r="Y20" s="2" t="str">
        <f t="shared" si="4"/>
        <v>2.2.1</v>
      </c>
      <c r="Z20" s="268"/>
      <c r="AA20" s="268"/>
      <c r="AB20" s="267"/>
      <c r="AC20" s="58">
        <v>13</v>
      </c>
      <c r="AD20" t="str">
        <f t="shared" si="15"/>
        <v xml:space="preserve">Alcaldia del Carmen de Viboral </v>
      </c>
      <c r="AE20" s="65">
        <f t="shared" si="16"/>
        <v>45449</v>
      </c>
      <c r="AF20" t="s">
        <v>6</v>
      </c>
      <c r="AG20" t="s">
        <v>12</v>
      </c>
      <c r="AH20" t="s">
        <v>13</v>
      </c>
      <c r="AI20" s="55" t="s">
        <v>72</v>
      </c>
      <c r="AJ20" t="str">
        <f t="shared" si="5"/>
        <v>No</v>
      </c>
      <c r="AK20" s="68">
        <f t="shared" si="6"/>
        <v>0</v>
      </c>
      <c r="AL20" t="str">
        <f t="shared" si="7"/>
        <v xml:space="preserve">Se encuentran definidos los objetivos pero aun estan pendiente definir las metas y ser revisados y firmados. </v>
      </c>
      <c r="AM20" t="str">
        <f t="shared" si="0"/>
        <v>2.2.1</v>
      </c>
      <c r="AN20" t="str">
        <f t="shared" si="8"/>
        <v>No cumple</v>
      </c>
      <c r="AO20" t="str">
        <f t="shared" si="17"/>
        <v>06/06/2024</v>
      </c>
      <c r="AP20" t="str">
        <f t="shared" si="9"/>
        <v xml:space="preserve">Se encuentran definidos los objetivos pero aun estan pendiente definir las metas y ser revisados y firmados. </v>
      </c>
      <c r="AQ20" t="str">
        <f t="shared" si="10"/>
        <v>Art 16/No apl</v>
      </c>
      <c r="AR20" s="82">
        <v>1</v>
      </c>
      <c r="AT20" s="65"/>
      <c r="BA20" s="5" t="s">
        <v>306</v>
      </c>
      <c r="BB20" s="5" t="str">
        <f t="shared" si="11"/>
        <v/>
      </c>
      <c r="BC20" s="5" t="str">
        <f t="shared" si="12"/>
        <v>X</v>
      </c>
      <c r="BD20" s="5" t="str">
        <f t="shared" si="13"/>
        <v/>
      </c>
      <c r="BF20" s="5"/>
      <c r="BG20" s="5" t="str">
        <f t="shared" si="14"/>
        <v/>
      </c>
    </row>
    <row r="21" spans="1:59" ht="50.15" customHeight="1" thickBot="1" x14ac:dyDescent="0.4">
      <c r="A21" s="5"/>
      <c r="B21" s="5"/>
      <c r="C21" s="5"/>
      <c r="D21" s="5"/>
      <c r="E21" s="5"/>
      <c r="F21" s="5"/>
      <c r="G21" t="s">
        <v>46</v>
      </c>
      <c r="I21" s="93">
        <v>14</v>
      </c>
      <c r="J21" s="238"/>
      <c r="K21" s="248"/>
      <c r="L21" s="188" t="s">
        <v>475</v>
      </c>
      <c r="M21" s="191" t="str">
        <f>"2.3.1 Evaluación e identificación de prioridades"&amp;BG21</f>
        <v>2.3.1 Evaluación e identificación de prioridades</v>
      </c>
      <c r="N21" s="192">
        <v>1</v>
      </c>
      <c r="O21" s="246"/>
      <c r="P21" s="192" t="s">
        <v>5</v>
      </c>
      <c r="Q21" s="192"/>
      <c r="R21" s="192"/>
      <c r="S21" s="247"/>
      <c r="T21" s="205" t="s">
        <v>669</v>
      </c>
      <c r="U21" s="120">
        <v>14</v>
      </c>
      <c r="V21" s="2">
        <f t="shared" si="1"/>
        <v>1</v>
      </c>
      <c r="W21" s="2">
        <f t="shared" si="2"/>
        <v>1</v>
      </c>
      <c r="X21" s="2">
        <f t="shared" si="3"/>
        <v>1</v>
      </c>
      <c r="Y21" s="2" t="str">
        <f t="shared" si="4"/>
        <v>2.3.1</v>
      </c>
      <c r="Z21" s="268"/>
      <c r="AA21" s="268"/>
      <c r="AB21" s="267"/>
      <c r="AC21" s="58">
        <v>14</v>
      </c>
      <c r="AD21" t="str">
        <f t="shared" si="15"/>
        <v xml:space="preserve">Alcaldia del Carmen de Viboral </v>
      </c>
      <c r="AE21" s="65">
        <f t="shared" si="16"/>
        <v>45449</v>
      </c>
      <c r="AF21" t="s">
        <v>6</v>
      </c>
      <c r="AG21" t="s">
        <v>12</v>
      </c>
      <c r="AH21" t="s">
        <v>14</v>
      </c>
      <c r="AI21" s="55" t="s">
        <v>73</v>
      </c>
      <c r="AJ21" t="str">
        <f t="shared" si="5"/>
        <v>Si</v>
      </c>
      <c r="AK21" s="68">
        <f t="shared" si="6"/>
        <v>1</v>
      </c>
      <c r="AL21" t="str">
        <f t="shared" si="7"/>
        <v xml:space="preserve">Se tiene la evaluacion incicial del año 2023 y la autoevaluación con porcentaje del 53.25% (realizada por la ARL Sura). </v>
      </c>
      <c r="AM21" t="str">
        <f t="shared" si="0"/>
        <v>2.3.1</v>
      </c>
      <c r="AN21" t="str">
        <f t="shared" si="8"/>
        <v>Cumple</v>
      </c>
      <c r="AO21" t="str">
        <f t="shared" si="17"/>
        <v>06/06/2024</v>
      </c>
      <c r="AP21" t="str">
        <f t="shared" si="9"/>
        <v xml:space="preserve">Se tiene la evaluacion incicial del año 2023 y la autoevaluación con porcentaje del 53.25% (realizada por la ARL Sura). </v>
      </c>
      <c r="AQ21" t="str">
        <f t="shared" si="10"/>
        <v>Art 16/No apl</v>
      </c>
      <c r="AR21" s="82">
        <v>1</v>
      </c>
      <c r="AT21" s="65"/>
      <c r="BA21" s="5" t="s">
        <v>306</v>
      </c>
      <c r="BB21" s="5" t="str">
        <f t="shared" si="11"/>
        <v/>
      </c>
      <c r="BC21" s="5" t="str">
        <f t="shared" si="12"/>
        <v>X</v>
      </c>
      <c r="BD21" s="5" t="str">
        <f t="shared" si="13"/>
        <v/>
      </c>
      <c r="BF21" s="5"/>
      <c r="BG21" s="5" t="str">
        <f t="shared" si="14"/>
        <v/>
      </c>
    </row>
    <row r="22" spans="1:59" ht="50.15" customHeight="1" thickBot="1" x14ac:dyDescent="0.4">
      <c r="A22" s="5" t="s">
        <v>5</v>
      </c>
      <c r="B22" s="5">
        <f>$N22</f>
        <v>2</v>
      </c>
      <c r="C22" s="5"/>
      <c r="D22" s="5"/>
      <c r="E22" s="5" t="s">
        <v>5</v>
      </c>
      <c r="F22" s="5">
        <f>$N22</f>
        <v>2</v>
      </c>
      <c r="G22" t="s">
        <v>46</v>
      </c>
      <c r="I22" s="93">
        <v>15</v>
      </c>
      <c r="J22" s="238"/>
      <c r="K22" s="248"/>
      <c r="L22" s="188" t="s">
        <v>145</v>
      </c>
      <c r="M22" s="191" t="str">
        <f>"2.4.1 Plan que identifica objetivos, metas, responsabilidad, recursos con cronograma y firmado"&amp;BG22</f>
        <v>2.4.1 Plan que identifica objetivos, metas, responsabilidad, recursos con cronograma y firmado</v>
      </c>
      <c r="N22" s="192">
        <v>2</v>
      </c>
      <c r="O22" s="246"/>
      <c r="P22" s="190" t="s">
        <v>5</v>
      </c>
      <c r="Q22" s="190"/>
      <c r="R22" s="192"/>
      <c r="S22" s="247"/>
      <c r="T22" s="205" t="s">
        <v>670</v>
      </c>
      <c r="U22" s="122">
        <v>15</v>
      </c>
      <c r="V22" s="2">
        <f t="shared" si="1"/>
        <v>1</v>
      </c>
      <c r="W22" s="2">
        <f t="shared" si="2"/>
        <v>1</v>
      </c>
      <c r="X22" s="2">
        <f t="shared" si="3"/>
        <v>2</v>
      </c>
      <c r="Y22" s="2" t="str">
        <f t="shared" si="4"/>
        <v>2.4.1</v>
      </c>
      <c r="Z22" s="268"/>
      <c r="AA22" s="268"/>
      <c r="AB22" s="267"/>
      <c r="AC22" s="58">
        <v>15</v>
      </c>
      <c r="AD22" t="str">
        <f t="shared" si="15"/>
        <v xml:space="preserve">Alcaldia del Carmen de Viboral </v>
      </c>
      <c r="AE22" s="65">
        <f t="shared" si="16"/>
        <v>45449</v>
      </c>
      <c r="AF22" t="s">
        <v>6</v>
      </c>
      <c r="AG22" t="s">
        <v>12</v>
      </c>
      <c r="AH22" t="s">
        <v>16</v>
      </c>
      <c r="AI22" s="55" t="s">
        <v>15</v>
      </c>
      <c r="AJ22" t="str">
        <f t="shared" si="5"/>
        <v>Si</v>
      </c>
      <c r="AK22" s="68">
        <f t="shared" si="6"/>
        <v>2</v>
      </c>
      <c r="AL22" t="str">
        <f t="shared" si="7"/>
        <v xml:space="preserve">Se tiene definido para el año 2024 y esta firmado y revisado por la alcaldia nueva. </v>
      </c>
      <c r="AM22" t="str">
        <f t="shared" si="0"/>
        <v>2.4.1</v>
      </c>
      <c r="AN22" t="str">
        <f t="shared" si="8"/>
        <v>Cumple</v>
      </c>
      <c r="AO22" t="str">
        <f t="shared" si="17"/>
        <v>06/06/2024</v>
      </c>
      <c r="AP22" t="str">
        <f t="shared" si="9"/>
        <v xml:space="preserve">Se tiene definido para el año 2024 y esta firmado y revisado por la alcaldia nueva. </v>
      </c>
      <c r="AQ22" t="str">
        <f t="shared" si="10"/>
        <v>Art 16/No apl</v>
      </c>
      <c r="AR22" s="82">
        <v>1</v>
      </c>
      <c r="AT22" s="65"/>
      <c r="BA22" s="5" t="s">
        <v>306</v>
      </c>
      <c r="BB22" s="5" t="str">
        <f t="shared" si="11"/>
        <v/>
      </c>
      <c r="BC22" s="5" t="str">
        <f t="shared" si="12"/>
        <v>X</v>
      </c>
      <c r="BD22" s="5" t="str">
        <f t="shared" si="13"/>
        <v/>
      </c>
      <c r="BF22" s="5"/>
      <c r="BG22" s="5" t="str">
        <f t="shared" si="14"/>
        <v/>
      </c>
    </row>
    <row r="23" spans="1:59" ht="50.15" customHeight="1" thickBot="1" x14ac:dyDescent="0.4">
      <c r="A23" s="5"/>
      <c r="B23" s="5"/>
      <c r="C23" s="5"/>
      <c r="D23" s="5"/>
      <c r="E23" s="5" t="s">
        <v>5</v>
      </c>
      <c r="F23" s="5">
        <f>$N23</f>
        <v>2</v>
      </c>
      <c r="G23" t="s">
        <v>46</v>
      </c>
      <c r="I23" s="93">
        <v>16</v>
      </c>
      <c r="J23" s="238"/>
      <c r="K23" s="248"/>
      <c r="L23" s="188" t="s">
        <v>17</v>
      </c>
      <c r="M23" s="191" t="str">
        <f>"2.5.1 Archivo o retención documental del Sistema de Gestión en Seguridad y Salud en el Trabajo SG-SST"&amp;BG23</f>
        <v>2.5.1 Archivo o retención documental del Sistema de Gestión en Seguridad y Salud en el Trabajo SG-SST</v>
      </c>
      <c r="N23" s="192">
        <v>2</v>
      </c>
      <c r="O23" s="246"/>
      <c r="P23" s="190"/>
      <c r="Q23" s="192" t="s">
        <v>5</v>
      </c>
      <c r="R23" s="192"/>
      <c r="S23" s="247"/>
      <c r="T23" s="205" t="s">
        <v>671</v>
      </c>
      <c r="U23" s="120">
        <v>16</v>
      </c>
      <c r="V23" s="2">
        <f t="shared" si="1"/>
        <v>1</v>
      </c>
      <c r="W23" s="2">
        <f t="shared" si="2"/>
        <v>1</v>
      </c>
      <c r="X23" s="2">
        <f t="shared" si="3"/>
        <v>0</v>
      </c>
      <c r="Y23" s="2" t="str">
        <f t="shared" si="4"/>
        <v>2.5.1</v>
      </c>
      <c r="Z23" s="268"/>
      <c r="AA23" s="268"/>
      <c r="AB23" s="267"/>
      <c r="AC23" s="58">
        <v>16</v>
      </c>
      <c r="AD23" t="str">
        <f t="shared" si="15"/>
        <v xml:space="preserve">Alcaldia del Carmen de Viboral </v>
      </c>
      <c r="AE23" s="65">
        <f t="shared" si="16"/>
        <v>45449</v>
      </c>
      <c r="AF23" t="s">
        <v>6</v>
      </c>
      <c r="AG23" t="s">
        <v>12</v>
      </c>
      <c r="AH23" t="s">
        <v>17</v>
      </c>
      <c r="AI23" s="55" t="s">
        <v>74</v>
      </c>
      <c r="AJ23" t="str">
        <f t="shared" si="5"/>
        <v>No</v>
      </c>
      <c r="AK23" s="68">
        <f t="shared" si="6"/>
        <v>0</v>
      </c>
      <c r="AL23" t="str">
        <f t="shared" si="7"/>
        <v xml:space="preserve">Se tiene procedimiento desactualizado e incompleto el listado maestro de documentos. </v>
      </c>
      <c r="AM23" t="str">
        <f t="shared" si="0"/>
        <v>2.5.1</v>
      </c>
      <c r="AN23" t="str">
        <f t="shared" si="8"/>
        <v>No cumple</v>
      </c>
      <c r="AO23" t="str">
        <f t="shared" si="17"/>
        <v>06/06/2024</v>
      </c>
      <c r="AP23" t="str">
        <f t="shared" si="9"/>
        <v xml:space="preserve">Se tiene procedimiento desactualizado e incompleto el listado maestro de documentos. </v>
      </c>
      <c r="AQ23" t="str">
        <f t="shared" si="10"/>
        <v>Art 16/No apl</v>
      </c>
      <c r="AR23" s="82">
        <v>1</v>
      </c>
      <c r="AT23" s="65"/>
      <c r="BA23" s="5" t="s">
        <v>306</v>
      </c>
      <c r="BB23" s="5" t="str">
        <f t="shared" si="11"/>
        <v/>
      </c>
      <c r="BC23" s="5" t="str">
        <f t="shared" si="12"/>
        <v>X</v>
      </c>
      <c r="BD23" s="5" t="str">
        <f t="shared" si="13"/>
        <v/>
      </c>
      <c r="BF23" s="5"/>
      <c r="BG23" s="5" t="str">
        <f t="shared" si="14"/>
        <v/>
      </c>
    </row>
    <row r="24" spans="1:59" ht="50.15" customHeight="1" thickBot="1" x14ac:dyDescent="0.4">
      <c r="A24" s="5"/>
      <c r="B24" s="5"/>
      <c r="C24" s="5"/>
      <c r="D24" s="5"/>
      <c r="E24" s="5"/>
      <c r="F24" s="5"/>
      <c r="G24" t="s">
        <v>46</v>
      </c>
      <c r="I24" s="93">
        <v>17</v>
      </c>
      <c r="J24" s="238"/>
      <c r="K24" s="248"/>
      <c r="L24" s="188" t="s">
        <v>18</v>
      </c>
      <c r="M24" s="191" t="str">
        <f>"2.6.1 Rendición sobre el desempeño"&amp;BG24</f>
        <v>2.6.1 Rendición sobre el desempeño</v>
      </c>
      <c r="N24" s="192">
        <v>1</v>
      </c>
      <c r="O24" s="246"/>
      <c r="P24" s="192" t="s">
        <v>5</v>
      </c>
      <c r="Q24" s="192"/>
      <c r="R24" s="192"/>
      <c r="S24" s="247"/>
      <c r="T24" s="205" t="s">
        <v>672</v>
      </c>
      <c r="U24" s="122">
        <v>17</v>
      </c>
      <c r="V24" s="2">
        <f t="shared" si="1"/>
        <v>1</v>
      </c>
      <c r="W24" s="2">
        <f t="shared" si="2"/>
        <v>1</v>
      </c>
      <c r="X24" s="2">
        <f t="shared" si="3"/>
        <v>1</v>
      </c>
      <c r="Y24" s="2" t="str">
        <f t="shared" si="4"/>
        <v>2.6.1</v>
      </c>
      <c r="Z24" s="268"/>
      <c r="AA24" s="268"/>
      <c r="AB24" s="267"/>
      <c r="AC24" s="58">
        <v>17</v>
      </c>
      <c r="AD24" t="str">
        <f t="shared" si="15"/>
        <v xml:space="preserve">Alcaldia del Carmen de Viboral </v>
      </c>
      <c r="AE24" s="65">
        <f t="shared" si="16"/>
        <v>45449</v>
      </c>
      <c r="AF24" t="s">
        <v>6</v>
      </c>
      <c r="AG24" t="s">
        <v>12</v>
      </c>
      <c r="AH24" t="s">
        <v>18</v>
      </c>
      <c r="AI24" s="55" t="s">
        <v>75</v>
      </c>
      <c r="AJ24" t="str">
        <f t="shared" si="5"/>
        <v>Si</v>
      </c>
      <c r="AK24" s="68">
        <f t="shared" si="6"/>
        <v>1</v>
      </c>
      <c r="AL24" t="str">
        <f t="shared" si="7"/>
        <v xml:space="preserve">Revisar y/o actualizar. </v>
      </c>
      <c r="AM24" t="str">
        <f t="shared" si="0"/>
        <v>2.6.1</v>
      </c>
      <c r="AN24" t="str">
        <f t="shared" si="8"/>
        <v>Cumple</v>
      </c>
      <c r="AO24" t="str">
        <f t="shared" si="17"/>
        <v>06/06/2024</v>
      </c>
      <c r="AP24" t="str">
        <f t="shared" si="9"/>
        <v xml:space="preserve">Revisar y/o actualizar. </v>
      </c>
      <c r="AQ24" t="str">
        <f t="shared" si="10"/>
        <v>Art 16/No apl</v>
      </c>
      <c r="AR24" s="82">
        <v>1</v>
      </c>
      <c r="AT24" s="65"/>
      <c r="BA24" s="5" t="s">
        <v>306</v>
      </c>
      <c r="BB24" s="5" t="str">
        <f t="shared" si="11"/>
        <v/>
      </c>
      <c r="BC24" s="5" t="str">
        <f t="shared" si="12"/>
        <v>X</v>
      </c>
      <c r="BD24" s="5" t="str">
        <f t="shared" si="13"/>
        <v/>
      </c>
      <c r="BF24" s="5"/>
      <c r="BG24" s="5" t="str">
        <f t="shared" si="14"/>
        <v/>
      </c>
    </row>
    <row r="25" spans="1:59" ht="50.15" customHeight="1" thickBot="1" x14ac:dyDescent="0.4">
      <c r="A25" s="5"/>
      <c r="B25" s="5"/>
      <c r="C25" s="5"/>
      <c r="D25" s="5"/>
      <c r="E25" s="5"/>
      <c r="F25" s="5"/>
      <c r="G25" t="s">
        <v>46</v>
      </c>
      <c r="I25" s="93">
        <v>18</v>
      </c>
      <c r="J25" s="238"/>
      <c r="K25" s="248"/>
      <c r="L25" s="188" t="s">
        <v>476</v>
      </c>
      <c r="M25" s="191" t="str">
        <f>"2.7.1 Matriz legal"&amp;BG25</f>
        <v>2.7.1 Matriz legal</v>
      </c>
      <c r="N25" s="192">
        <v>2</v>
      </c>
      <c r="O25" s="246"/>
      <c r="P25" s="192"/>
      <c r="Q25" s="192" t="s">
        <v>5</v>
      </c>
      <c r="R25" s="192"/>
      <c r="S25" s="247"/>
      <c r="T25" s="205"/>
      <c r="U25" s="120">
        <v>18</v>
      </c>
      <c r="V25" s="2">
        <f t="shared" si="1"/>
        <v>1</v>
      </c>
      <c r="W25" s="2">
        <f t="shared" si="2"/>
        <v>1</v>
      </c>
      <c r="X25" s="2">
        <f t="shared" si="3"/>
        <v>0</v>
      </c>
      <c r="Y25" s="2" t="str">
        <f t="shared" si="4"/>
        <v>2.7.1</v>
      </c>
      <c r="Z25" s="268"/>
      <c r="AA25" s="268"/>
      <c r="AB25" s="267"/>
      <c r="AC25" s="58">
        <v>18</v>
      </c>
      <c r="AD25" t="str">
        <f t="shared" si="15"/>
        <v xml:space="preserve">Alcaldia del Carmen de Viboral </v>
      </c>
      <c r="AE25" s="65">
        <f t="shared" si="16"/>
        <v>45449</v>
      </c>
      <c r="AF25" t="s">
        <v>6</v>
      </c>
      <c r="AG25" t="s">
        <v>12</v>
      </c>
      <c r="AH25" t="s">
        <v>19</v>
      </c>
      <c r="AI25" s="55" t="s">
        <v>76</v>
      </c>
      <c r="AJ25" t="str">
        <f t="shared" si="5"/>
        <v>No</v>
      </c>
      <c r="AK25" s="68">
        <f t="shared" si="6"/>
        <v>0</v>
      </c>
      <c r="AL25" t="str">
        <f t="shared" si="7"/>
        <v/>
      </c>
      <c r="AM25" t="str">
        <f t="shared" si="0"/>
        <v>2.7.1</v>
      </c>
      <c r="AN25" t="str">
        <f t="shared" si="8"/>
        <v>No cumple</v>
      </c>
      <c r="AO25" t="str">
        <f t="shared" si="17"/>
        <v>06/06/2024</v>
      </c>
      <c r="AP25" t="str">
        <f t="shared" si="9"/>
        <v/>
      </c>
      <c r="AQ25" t="str">
        <f t="shared" si="10"/>
        <v>Art 16/No apl</v>
      </c>
      <c r="AR25" s="82">
        <v>1</v>
      </c>
      <c r="AT25" s="65"/>
      <c r="BA25" s="5" t="s">
        <v>306</v>
      </c>
      <c r="BB25" s="5" t="str">
        <f t="shared" si="11"/>
        <v/>
      </c>
      <c r="BC25" s="5" t="str">
        <f t="shared" si="12"/>
        <v>X</v>
      </c>
      <c r="BD25" s="5" t="str">
        <f t="shared" si="13"/>
        <v/>
      </c>
      <c r="BF25" s="5"/>
      <c r="BG25" s="5" t="str">
        <f t="shared" si="14"/>
        <v/>
      </c>
    </row>
    <row r="26" spans="1:59" ht="50.15" customHeight="1" thickBot="1" x14ac:dyDescent="0.4">
      <c r="A26" s="5"/>
      <c r="B26" s="5"/>
      <c r="C26" s="5"/>
      <c r="D26" s="5"/>
      <c r="E26" s="5"/>
      <c r="F26" s="5"/>
      <c r="G26" t="s">
        <v>46</v>
      </c>
      <c r="I26" s="93">
        <v>19</v>
      </c>
      <c r="J26" s="238"/>
      <c r="K26" s="248"/>
      <c r="L26" s="188" t="s">
        <v>20</v>
      </c>
      <c r="M26" s="191" t="str">
        <f>"2.8.1 Mecanismos de comunicación, auto reporte en Sistema de Gestión de Seguridad y Salud en el Trabajo SG-SST"&amp;BG26</f>
        <v>2.8.1 Mecanismos de comunicación, auto reporte en Sistema de Gestión de Seguridad y Salud en el Trabajo SG-SST</v>
      </c>
      <c r="N26" s="192">
        <v>1</v>
      </c>
      <c r="O26" s="246"/>
      <c r="P26" s="192"/>
      <c r="Q26" s="192" t="s">
        <v>5</v>
      </c>
      <c r="R26" s="192"/>
      <c r="S26" s="247"/>
      <c r="T26" s="205"/>
      <c r="U26" s="122">
        <v>19</v>
      </c>
      <c r="V26" s="2">
        <f t="shared" si="1"/>
        <v>1</v>
      </c>
      <c r="W26" s="2">
        <f t="shared" si="2"/>
        <v>1</v>
      </c>
      <c r="X26" s="2">
        <f t="shared" si="3"/>
        <v>0</v>
      </c>
      <c r="Y26" s="2" t="str">
        <f t="shared" si="4"/>
        <v>2.8.1</v>
      </c>
      <c r="Z26" s="268"/>
      <c r="AA26" s="268"/>
      <c r="AB26" s="267"/>
      <c r="AC26" s="58">
        <v>19</v>
      </c>
      <c r="AD26" t="str">
        <f t="shared" si="15"/>
        <v xml:space="preserve">Alcaldia del Carmen de Viboral </v>
      </c>
      <c r="AE26" s="65">
        <f t="shared" si="16"/>
        <v>45449</v>
      </c>
      <c r="AF26" t="s">
        <v>6</v>
      </c>
      <c r="AG26" t="s">
        <v>12</v>
      </c>
      <c r="AH26" t="s">
        <v>20</v>
      </c>
      <c r="AI26" s="55" t="s">
        <v>77</v>
      </c>
      <c r="AJ26" t="str">
        <f t="shared" si="5"/>
        <v>No</v>
      </c>
      <c r="AK26" s="68">
        <f t="shared" si="6"/>
        <v>0</v>
      </c>
      <c r="AL26" t="str">
        <f t="shared" si="7"/>
        <v/>
      </c>
      <c r="AM26" t="str">
        <f t="shared" si="0"/>
        <v>2.8.1</v>
      </c>
      <c r="AN26" t="str">
        <f t="shared" si="8"/>
        <v>No cumple</v>
      </c>
      <c r="AO26" t="str">
        <f t="shared" si="17"/>
        <v>06/06/2024</v>
      </c>
      <c r="AP26" t="str">
        <f t="shared" si="9"/>
        <v/>
      </c>
      <c r="AQ26" t="str">
        <f t="shared" si="10"/>
        <v>Art 16/No apl</v>
      </c>
      <c r="AR26" s="82">
        <v>1</v>
      </c>
      <c r="AT26" s="65"/>
      <c r="BA26" s="5" t="s">
        <v>306</v>
      </c>
      <c r="BB26" s="5" t="str">
        <f t="shared" si="11"/>
        <v/>
      </c>
      <c r="BC26" s="5" t="str">
        <f t="shared" si="12"/>
        <v>X</v>
      </c>
      <c r="BD26" s="5" t="str">
        <f t="shared" si="13"/>
        <v/>
      </c>
      <c r="BF26" s="5"/>
      <c r="BG26" s="5" t="str">
        <f t="shared" si="14"/>
        <v/>
      </c>
    </row>
    <row r="27" spans="1:59" ht="50.15" customHeight="1" thickBot="1" x14ac:dyDescent="0.4">
      <c r="A27" s="5"/>
      <c r="B27" s="5"/>
      <c r="C27" s="5"/>
      <c r="D27" s="5"/>
      <c r="E27" s="5"/>
      <c r="F27" s="5"/>
      <c r="G27" t="s">
        <v>46</v>
      </c>
      <c r="I27" s="93">
        <v>20</v>
      </c>
      <c r="J27" s="238"/>
      <c r="K27" s="248"/>
      <c r="L27" s="188" t="s">
        <v>21</v>
      </c>
      <c r="M27" s="191" t="str">
        <f>"2.9.1 Identificación, evaluación para adquisición de productos y servicios en Sistema de Gestión de Seguridad y Salud en el Trabajo SG-SST"&amp;BG27</f>
        <v>2.9.1 Identificación, evaluación para adquisición de productos y servicios en Sistema de Gestión de Seguridad y Salud en el Trabajo SG-SST</v>
      </c>
      <c r="N27" s="192">
        <v>1</v>
      </c>
      <c r="O27" s="246"/>
      <c r="P27" s="192"/>
      <c r="Q27" s="192" t="s">
        <v>5</v>
      </c>
      <c r="R27" s="192"/>
      <c r="S27" s="247"/>
      <c r="T27" s="205"/>
      <c r="U27" s="120">
        <v>20</v>
      </c>
      <c r="V27" s="2">
        <f t="shared" si="1"/>
        <v>1</v>
      </c>
      <c r="W27" s="2">
        <f t="shared" si="2"/>
        <v>1</v>
      </c>
      <c r="X27" s="2">
        <f t="shared" si="3"/>
        <v>0</v>
      </c>
      <c r="Y27" s="2" t="str">
        <f t="shared" si="4"/>
        <v>2.9.1</v>
      </c>
      <c r="Z27" s="268"/>
      <c r="AA27" s="268"/>
      <c r="AB27" s="267"/>
      <c r="AC27" s="58">
        <v>20</v>
      </c>
      <c r="AD27" t="str">
        <f t="shared" si="15"/>
        <v xml:space="preserve">Alcaldia del Carmen de Viboral </v>
      </c>
      <c r="AE27" s="65">
        <f t="shared" si="16"/>
        <v>45449</v>
      </c>
      <c r="AF27" t="s">
        <v>6</v>
      </c>
      <c r="AG27" t="s">
        <v>12</v>
      </c>
      <c r="AH27" t="s">
        <v>21</v>
      </c>
      <c r="AI27" s="55" t="s">
        <v>110</v>
      </c>
      <c r="AJ27" t="str">
        <f t="shared" si="5"/>
        <v>No</v>
      </c>
      <c r="AK27" s="68">
        <f t="shared" si="6"/>
        <v>0</v>
      </c>
      <c r="AL27" t="str">
        <f t="shared" si="7"/>
        <v/>
      </c>
      <c r="AM27" t="str">
        <f t="shared" si="0"/>
        <v>2.9.1</v>
      </c>
      <c r="AN27" t="str">
        <f t="shared" si="8"/>
        <v>No cumple</v>
      </c>
      <c r="AO27" t="str">
        <f t="shared" si="17"/>
        <v>06/06/2024</v>
      </c>
      <c r="AP27" t="str">
        <f t="shared" si="9"/>
        <v/>
      </c>
      <c r="AQ27" t="str">
        <f t="shared" si="10"/>
        <v>Art 16/No apl</v>
      </c>
      <c r="AR27" s="82">
        <v>1</v>
      </c>
      <c r="AT27" s="65"/>
      <c r="BA27" s="5" t="s">
        <v>306</v>
      </c>
      <c r="BB27" s="5" t="str">
        <f t="shared" si="11"/>
        <v/>
      </c>
      <c r="BC27" s="5" t="str">
        <f t="shared" si="12"/>
        <v>X</v>
      </c>
      <c r="BD27" s="5" t="str">
        <f t="shared" si="13"/>
        <v/>
      </c>
      <c r="BF27" s="5"/>
      <c r="BG27" s="5" t="str">
        <f t="shared" si="14"/>
        <v/>
      </c>
    </row>
    <row r="28" spans="1:59" ht="50.15" customHeight="1" thickBot="1" x14ac:dyDescent="0.4">
      <c r="A28" s="5"/>
      <c r="B28" s="5"/>
      <c r="C28" s="5"/>
      <c r="D28" s="5"/>
      <c r="E28" s="5"/>
      <c r="F28" s="5"/>
      <c r="G28" t="s">
        <v>46</v>
      </c>
      <c r="I28" s="93">
        <v>21</v>
      </c>
      <c r="J28" s="238"/>
      <c r="K28" s="248"/>
      <c r="L28" s="188" t="s">
        <v>22</v>
      </c>
      <c r="M28" s="191" t="str">
        <f>"2.10.1 Evaluación y selección de proveedores y contratistas"&amp;BG28</f>
        <v>2.10.1 Evaluación y selección de proveedores y contratistas</v>
      </c>
      <c r="N28" s="192">
        <v>2</v>
      </c>
      <c r="O28" s="246"/>
      <c r="P28" s="192" t="s">
        <v>5</v>
      </c>
      <c r="Q28" s="192"/>
      <c r="R28" s="192"/>
      <c r="S28" s="247"/>
      <c r="T28" s="205" t="s">
        <v>673</v>
      </c>
      <c r="U28" s="122">
        <v>21</v>
      </c>
      <c r="V28" s="2">
        <f t="shared" si="1"/>
        <v>1</v>
      </c>
      <c r="W28" s="2">
        <f t="shared" si="2"/>
        <v>1</v>
      </c>
      <c r="X28" s="2">
        <f t="shared" si="3"/>
        <v>2</v>
      </c>
      <c r="Y28" s="2" t="str">
        <f>LEFT(M28,6)</f>
        <v>2.10.1</v>
      </c>
      <c r="Z28" s="268"/>
      <c r="AA28" s="268"/>
      <c r="AB28" s="267"/>
      <c r="AC28" s="58">
        <v>21</v>
      </c>
      <c r="AD28" t="str">
        <f t="shared" si="15"/>
        <v xml:space="preserve">Alcaldia del Carmen de Viboral </v>
      </c>
      <c r="AE28" s="65">
        <f t="shared" si="16"/>
        <v>45449</v>
      </c>
      <c r="AF28" t="s">
        <v>6</v>
      </c>
      <c r="AG28" t="s">
        <v>12</v>
      </c>
      <c r="AH28" t="s">
        <v>22</v>
      </c>
      <c r="AI28" s="55" t="s">
        <v>78</v>
      </c>
      <c r="AJ28" t="str">
        <f t="shared" si="5"/>
        <v>Si</v>
      </c>
      <c r="AK28" s="68">
        <f t="shared" si="6"/>
        <v>2</v>
      </c>
      <c r="AL28" t="str">
        <f t="shared" si="7"/>
        <v xml:space="preserve">Revisar y/o actualizar ya que se tienen falencias en el proceso. </v>
      </c>
      <c r="AM28" t="str">
        <f t="shared" si="0"/>
        <v>2.10.1</v>
      </c>
      <c r="AN28" t="str">
        <f t="shared" si="8"/>
        <v>Cumple</v>
      </c>
      <c r="AO28" t="str">
        <f t="shared" si="17"/>
        <v>06/06/2024</v>
      </c>
      <c r="AP28" t="str">
        <f t="shared" si="9"/>
        <v xml:space="preserve">Revisar y/o actualizar ya que se tienen falencias en el proceso. </v>
      </c>
      <c r="AQ28" t="str">
        <f t="shared" si="10"/>
        <v>Art 16/No apl</v>
      </c>
      <c r="AR28" s="82">
        <v>1</v>
      </c>
      <c r="AT28" s="65"/>
      <c r="BA28" s="5" t="s">
        <v>306</v>
      </c>
      <c r="BB28" s="5" t="str">
        <f t="shared" si="11"/>
        <v/>
      </c>
      <c r="BC28" s="5" t="str">
        <f t="shared" si="12"/>
        <v>X</v>
      </c>
      <c r="BD28" s="5" t="str">
        <f t="shared" si="13"/>
        <v/>
      </c>
      <c r="BF28" s="5"/>
      <c r="BG28" s="5" t="str">
        <f t="shared" si="14"/>
        <v/>
      </c>
    </row>
    <row r="29" spans="1:59" ht="50.15" customHeight="1" thickBot="1" x14ac:dyDescent="0.4">
      <c r="A29" s="5"/>
      <c r="B29" s="5"/>
      <c r="C29" s="5"/>
      <c r="D29" s="5"/>
      <c r="E29" s="5"/>
      <c r="F29" s="5"/>
      <c r="G29" t="s">
        <v>46</v>
      </c>
      <c r="I29" s="93">
        <v>22</v>
      </c>
      <c r="J29" s="238"/>
      <c r="K29" s="248"/>
      <c r="L29" s="188" t="s">
        <v>226</v>
      </c>
      <c r="M29" s="191" t="str">
        <f>"2.11.1 Evaluación del impacto de cambios internos y externos en el Sistema de Gestión de Seguridad y Salud en el Trabajo SG-SST"&amp;BG29</f>
        <v>2.11.1 Evaluación del impacto de cambios internos y externos en el Sistema de Gestión de Seguridad y Salud en el Trabajo SG-SST</v>
      </c>
      <c r="N29" s="192">
        <v>1</v>
      </c>
      <c r="O29" s="246"/>
      <c r="P29" s="192"/>
      <c r="Q29" s="192" t="s">
        <v>5</v>
      </c>
      <c r="R29" s="192"/>
      <c r="S29" s="247"/>
      <c r="T29" s="205"/>
      <c r="U29" s="120">
        <v>22</v>
      </c>
      <c r="V29" s="2">
        <f t="shared" si="1"/>
        <v>1</v>
      </c>
      <c r="W29" s="2">
        <f t="shared" si="2"/>
        <v>1</v>
      </c>
      <c r="X29" s="2">
        <f t="shared" si="3"/>
        <v>0</v>
      </c>
      <c r="Y29" s="2" t="str">
        <f>LEFT(M29,6)</f>
        <v>2.11.1</v>
      </c>
      <c r="Z29" s="268"/>
      <c r="AA29" s="268"/>
      <c r="AB29" s="267"/>
      <c r="AC29" s="58">
        <v>22</v>
      </c>
      <c r="AD29" t="str">
        <f t="shared" si="15"/>
        <v xml:space="preserve">Alcaldia del Carmen de Viboral </v>
      </c>
      <c r="AE29" s="65">
        <f t="shared" si="16"/>
        <v>45449</v>
      </c>
      <c r="AF29" t="s">
        <v>6</v>
      </c>
      <c r="AG29" t="s">
        <v>12</v>
      </c>
      <c r="AH29" t="s">
        <v>23</v>
      </c>
      <c r="AI29" s="55" t="s">
        <v>79</v>
      </c>
      <c r="AJ29" t="str">
        <f t="shared" si="5"/>
        <v>No</v>
      </c>
      <c r="AK29" s="68">
        <f t="shared" si="6"/>
        <v>0</v>
      </c>
      <c r="AL29" t="str">
        <f t="shared" si="7"/>
        <v/>
      </c>
      <c r="AM29" t="str">
        <f t="shared" si="0"/>
        <v>2.11.1</v>
      </c>
      <c r="AN29" t="str">
        <f t="shared" si="8"/>
        <v>No cumple</v>
      </c>
      <c r="AO29" t="str">
        <f t="shared" si="17"/>
        <v>06/06/2024</v>
      </c>
      <c r="AP29" t="str">
        <f t="shared" si="9"/>
        <v/>
      </c>
      <c r="AQ29" t="str">
        <f t="shared" si="10"/>
        <v>Art 16/No apl</v>
      </c>
      <c r="AR29" s="82">
        <v>1</v>
      </c>
      <c r="AT29" s="65"/>
      <c r="BA29" s="5" t="s">
        <v>306</v>
      </c>
      <c r="BB29" s="5" t="str">
        <f t="shared" si="11"/>
        <v/>
      </c>
      <c r="BC29" s="5" t="str">
        <f t="shared" si="12"/>
        <v>X</v>
      </c>
      <c r="BD29" s="5" t="str">
        <f t="shared" si="13"/>
        <v/>
      </c>
      <c r="BF29" s="5"/>
      <c r="BG29" s="5" t="str">
        <f t="shared" si="14"/>
        <v/>
      </c>
    </row>
    <row r="30" spans="1:59" ht="50.15" customHeight="1" thickBot="1" x14ac:dyDescent="0.4">
      <c r="A30" s="5"/>
      <c r="B30" s="5"/>
      <c r="C30" s="5"/>
      <c r="D30" s="5"/>
      <c r="E30" s="5" t="s">
        <v>5</v>
      </c>
      <c r="F30" s="5">
        <f>$N30</f>
        <v>1</v>
      </c>
      <c r="G30" t="s">
        <v>46</v>
      </c>
      <c r="I30" s="93">
        <v>23</v>
      </c>
      <c r="J30" s="264" t="s">
        <v>24</v>
      </c>
      <c r="K30" s="248" t="s">
        <v>481</v>
      </c>
      <c r="L30" s="256" t="s">
        <v>477</v>
      </c>
      <c r="M30" s="191" t="str">
        <f>"3.1.1 Descripción sociodemográfica. Diagnóstico de condiciones de salud"&amp;BG30</f>
        <v>3.1.1 Descripción sociodemográfica. Diagnóstico de condiciones de salud</v>
      </c>
      <c r="N30" s="192">
        <v>1</v>
      </c>
      <c r="O30" s="246">
        <v>9</v>
      </c>
      <c r="P30" s="190"/>
      <c r="Q30" s="192" t="s">
        <v>5</v>
      </c>
      <c r="R30" s="192"/>
      <c r="S30" s="247">
        <f>SUM(X30:X38)</f>
        <v>7</v>
      </c>
      <c r="T30" s="205" t="s">
        <v>674</v>
      </c>
      <c r="U30" s="122">
        <v>23</v>
      </c>
      <c r="V30" s="2">
        <f t="shared" si="1"/>
        <v>1</v>
      </c>
      <c r="W30" s="2">
        <f t="shared" si="2"/>
        <v>1</v>
      </c>
      <c r="X30" s="2">
        <f t="shared" si="3"/>
        <v>0</v>
      </c>
      <c r="Y30" s="2" t="str">
        <f t="shared" si="4"/>
        <v>3.1.1</v>
      </c>
      <c r="Z30" s="268">
        <f>S30/O30</f>
        <v>0.77777777777777779</v>
      </c>
      <c r="AA30" s="268">
        <f>(S30+S39+S42)/(O30+O39+O42)</f>
        <v>0.45</v>
      </c>
      <c r="AB30" s="272">
        <f>SUM(S30:S57)/SUM(O30:O57)</f>
        <v>0.36</v>
      </c>
      <c r="AC30" s="58">
        <v>23</v>
      </c>
      <c r="AD30" t="str">
        <f t="shared" si="15"/>
        <v xml:space="preserve">Alcaldia del Carmen de Viboral </v>
      </c>
      <c r="AE30" s="65">
        <f t="shared" si="16"/>
        <v>45449</v>
      </c>
      <c r="AF30" t="s">
        <v>25</v>
      </c>
      <c r="AG30" t="s">
        <v>26</v>
      </c>
      <c r="AH30" t="s">
        <v>27</v>
      </c>
      <c r="AI30" s="55" t="s">
        <v>111</v>
      </c>
      <c r="AJ30" t="str">
        <f t="shared" si="5"/>
        <v>No</v>
      </c>
      <c r="AK30" s="68">
        <f t="shared" si="6"/>
        <v>0</v>
      </c>
      <c r="AL30" t="str">
        <f t="shared" si="7"/>
        <v>Solo se realizo en el año 2022.</v>
      </c>
      <c r="AM30" t="str">
        <f t="shared" si="0"/>
        <v>3.1.1</v>
      </c>
      <c r="AN30" t="str">
        <f t="shared" si="8"/>
        <v>No cumple</v>
      </c>
      <c r="AO30" t="str">
        <f t="shared" si="17"/>
        <v>06/06/2024</v>
      </c>
      <c r="AP30" t="str">
        <f t="shared" si="9"/>
        <v>Solo se realizo en el año 2022.</v>
      </c>
      <c r="AQ30" t="str">
        <f t="shared" si="10"/>
        <v>Art 16/No apl</v>
      </c>
      <c r="AR30" s="82">
        <v>1</v>
      </c>
      <c r="AT30" s="65"/>
      <c r="BA30" s="5" t="s">
        <v>306</v>
      </c>
      <c r="BB30" s="5" t="str">
        <f t="shared" si="11"/>
        <v/>
      </c>
      <c r="BC30" s="5" t="str">
        <f t="shared" si="12"/>
        <v>X</v>
      </c>
      <c r="BD30" s="5" t="str">
        <f t="shared" si="13"/>
        <v/>
      </c>
      <c r="BF30" s="5"/>
      <c r="BG30" s="5" t="str">
        <f t="shared" si="14"/>
        <v/>
      </c>
    </row>
    <row r="31" spans="1:59" ht="50.15" customHeight="1" thickBot="1" x14ac:dyDescent="0.4">
      <c r="A31" s="5"/>
      <c r="B31" s="5"/>
      <c r="C31" s="5"/>
      <c r="D31" s="5"/>
      <c r="E31" s="5" t="s">
        <v>5</v>
      </c>
      <c r="F31" s="5">
        <f>$N31</f>
        <v>1</v>
      </c>
      <c r="G31" t="s">
        <v>46</v>
      </c>
      <c r="I31" s="93">
        <v>24</v>
      </c>
      <c r="J31" s="264"/>
      <c r="K31" s="248"/>
      <c r="L31" s="256"/>
      <c r="M31" s="191" t="str">
        <f>"3.1.2 Actividades de Promoción y Prevención en Salud"&amp;BG31</f>
        <v>3.1.2 Actividades de Promoción y Prevención en Salud</v>
      </c>
      <c r="N31" s="192">
        <v>1</v>
      </c>
      <c r="O31" s="246"/>
      <c r="P31" s="190" t="s">
        <v>5</v>
      </c>
      <c r="Q31" s="192"/>
      <c r="R31" s="192"/>
      <c r="S31" s="247"/>
      <c r="T31" s="205" t="s">
        <v>675</v>
      </c>
      <c r="U31" s="120">
        <v>24</v>
      </c>
      <c r="V31" s="2">
        <f t="shared" si="1"/>
        <v>1</v>
      </c>
      <c r="W31" s="2">
        <f t="shared" si="2"/>
        <v>1</v>
      </c>
      <c r="X31" s="2">
        <f t="shared" si="3"/>
        <v>1</v>
      </c>
      <c r="Y31" s="2" t="str">
        <f t="shared" si="4"/>
        <v>3.1.2</v>
      </c>
      <c r="Z31" s="268"/>
      <c r="AA31" s="268"/>
      <c r="AB31" s="272"/>
      <c r="AC31" s="58">
        <v>24</v>
      </c>
      <c r="AD31" t="str">
        <f t="shared" si="15"/>
        <v xml:space="preserve">Alcaldia del Carmen de Viboral </v>
      </c>
      <c r="AE31" s="65">
        <f t="shared" si="16"/>
        <v>45449</v>
      </c>
      <c r="AF31" t="s">
        <v>25</v>
      </c>
      <c r="AG31" t="s">
        <v>26</v>
      </c>
      <c r="AH31" t="s">
        <v>27</v>
      </c>
      <c r="AI31" s="55" t="s">
        <v>28</v>
      </c>
      <c r="AJ31" t="str">
        <f t="shared" si="5"/>
        <v>Si</v>
      </c>
      <c r="AK31" s="68">
        <f t="shared" si="6"/>
        <v>1</v>
      </c>
      <c r="AL31" t="str">
        <f t="shared" si="7"/>
        <v xml:space="preserve">Se realizan anualmente en la semana de la salud. </v>
      </c>
      <c r="AM31" t="str">
        <f t="shared" si="0"/>
        <v>3.1.2</v>
      </c>
      <c r="AN31" t="str">
        <f t="shared" si="8"/>
        <v>Cumple</v>
      </c>
      <c r="AO31" t="str">
        <f t="shared" si="17"/>
        <v>06/06/2024</v>
      </c>
      <c r="AP31" t="str">
        <f t="shared" si="9"/>
        <v xml:space="preserve">Se realizan anualmente en la semana de la salud. </v>
      </c>
      <c r="AQ31" t="str">
        <f t="shared" si="10"/>
        <v>Art 16/No apl</v>
      </c>
      <c r="AR31" s="82">
        <v>1</v>
      </c>
      <c r="AT31" s="65"/>
      <c r="BA31" s="5" t="s">
        <v>305</v>
      </c>
      <c r="BB31" s="5" t="str">
        <f t="shared" si="11"/>
        <v>X</v>
      </c>
      <c r="BC31" s="5" t="str">
        <f t="shared" si="12"/>
        <v/>
      </c>
      <c r="BD31" s="5" t="str">
        <f t="shared" si="13"/>
        <v/>
      </c>
      <c r="BF31" s="5"/>
      <c r="BG31" s="5" t="str">
        <f t="shared" si="14"/>
        <v/>
      </c>
    </row>
    <row r="32" spans="1:59" ht="50.15" customHeight="1" thickBot="1" x14ac:dyDescent="0.4">
      <c r="A32" s="5"/>
      <c r="B32" s="5"/>
      <c r="C32" s="5"/>
      <c r="D32" s="5"/>
      <c r="E32" s="5"/>
      <c r="F32" s="5"/>
      <c r="G32" t="s">
        <v>46</v>
      </c>
      <c r="I32" s="93">
        <v>25</v>
      </c>
      <c r="J32" s="264"/>
      <c r="K32" s="248"/>
      <c r="L32" s="256"/>
      <c r="M32" s="191" t="str">
        <f>"3.1.3 Información al médico de los perfiles de cargo"&amp;BG32</f>
        <v>3.1.3 Información al médico de los perfiles de cargo</v>
      </c>
      <c r="N32" s="192">
        <v>1</v>
      </c>
      <c r="O32" s="246"/>
      <c r="P32" s="192" t="s">
        <v>5</v>
      </c>
      <c r="Q32" s="192"/>
      <c r="R32" s="192"/>
      <c r="S32" s="247"/>
      <c r="T32" s="205" t="s">
        <v>676</v>
      </c>
      <c r="U32" s="122">
        <v>25</v>
      </c>
      <c r="V32" s="2">
        <f t="shared" si="1"/>
        <v>1</v>
      </c>
      <c r="W32" s="2">
        <f t="shared" si="2"/>
        <v>1</v>
      </c>
      <c r="X32" s="2">
        <f t="shared" si="3"/>
        <v>1</v>
      </c>
      <c r="Y32" s="2" t="str">
        <f t="shared" si="4"/>
        <v>3.1.3</v>
      </c>
      <c r="Z32" s="268"/>
      <c r="AA32" s="268"/>
      <c r="AB32" s="272"/>
      <c r="AC32" s="58">
        <v>25</v>
      </c>
      <c r="AD32" t="str">
        <f t="shared" si="15"/>
        <v xml:space="preserve">Alcaldia del Carmen de Viboral </v>
      </c>
      <c r="AE32" s="65">
        <f t="shared" si="16"/>
        <v>45449</v>
      </c>
      <c r="AF32" t="s">
        <v>25</v>
      </c>
      <c r="AG32" t="s">
        <v>26</v>
      </c>
      <c r="AH32" t="s">
        <v>27</v>
      </c>
      <c r="AI32" s="55" t="s">
        <v>80</v>
      </c>
      <c r="AJ32" t="str">
        <f t="shared" si="5"/>
        <v>Si</v>
      </c>
      <c r="AK32" s="68">
        <f t="shared" si="6"/>
        <v>1</v>
      </c>
      <c r="AL32" t="str">
        <f t="shared" si="7"/>
        <v xml:space="preserve">Revisión y/o actualización. </v>
      </c>
      <c r="AM32" t="str">
        <f t="shared" si="0"/>
        <v>3.1.3</v>
      </c>
      <c r="AN32" t="str">
        <f t="shared" si="8"/>
        <v>Cumple</v>
      </c>
      <c r="AO32" t="str">
        <f t="shared" si="17"/>
        <v>06/06/2024</v>
      </c>
      <c r="AP32" t="str">
        <f t="shared" si="9"/>
        <v xml:space="preserve">Revisión y/o actualización. </v>
      </c>
      <c r="AQ32" t="str">
        <f t="shared" si="10"/>
        <v>Art 16/No apl</v>
      </c>
      <c r="AR32" s="82">
        <v>1</v>
      </c>
      <c r="AT32" s="65"/>
      <c r="BA32" s="5" t="s">
        <v>305</v>
      </c>
      <c r="BB32" s="5" t="str">
        <f t="shared" si="11"/>
        <v>X</v>
      </c>
      <c r="BC32" s="5" t="str">
        <f t="shared" si="12"/>
        <v/>
      </c>
      <c r="BD32" s="5" t="str">
        <f t="shared" si="13"/>
        <v/>
      </c>
      <c r="BF32" s="5"/>
      <c r="BG32" s="5" t="str">
        <f t="shared" si="14"/>
        <v/>
      </c>
    </row>
    <row r="33" spans="1:59" ht="50.15" customHeight="1" thickBot="1" x14ac:dyDescent="0.4">
      <c r="A33" s="5" t="s">
        <v>5</v>
      </c>
      <c r="B33" s="5">
        <f>$N33</f>
        <v>1</v>
      </c>
      <c r="C33" s="5"/>
      <c r="D33" s="5"/>
      <c r="E33" s="5" t="s">
        <v>5</v>
      </c>
      <c r="F33" s="5">
        <f>$N33</f>
        <v>1</v>
      </c>
      <c r="G33" t="s">
        <v>46</v>
      </c>
      <c r="I33" s="93">
        <v>26</v>
      </c>
      <c r="J33" s="264"/>
      <c r="K33" s="248"/>
      <c r="L33" s="256"/>
      <c r="M33" s="191" t="str">
        <f>"3.1.4 Realización de Evaluaciones Médicas Ocupacionales -Peligros- Periodicidad- Comunicación al Trabajador"&amp;BG33</f>
        <v>3.1.4 Realización de Evaluaciones Médicas Ocupacionales -Peligros- Periodicidad- Comunicación al Trabajador</v>
      </c>
      <c r="N33" s="192">
        <v>1</v>
      </c>
      <c r="O33" s="246"/>
      <c r="P33" s="190" t="s">
        <v>5</v>
      </c>
      <c r="Q33" s="190"/>
      <c r="R33" s="192"/>
      <c r="S33" s="247"/>
      <c r="T33" s="205" t="s">
        <v>677</v>
      </c>
      <c r="U33" s="120">
        <v>26</v>
      </c>
      <c r="V33" s="2">
        <f t="shared" si="1"/>
        <v>1</v>
      </c>
      <c r="W33" s="2">
        <f t="shared" si="2"/>
        <v>1</v>
      </c>
      <c r="X33" s="2">
        <f t="shared" si="3"/>
        <v>1</v>
      </c>
      <c r="Y33" s="2" t="str">
        <f t="shared" si="4"/>
        <v>3.1.4</v>
      </c>
      <c r="Z33" s="268"/>
      <c r="AA33" s="268"/>
      <c r="AB33" s="272"/>
      <c r="AC33" s="58">
        <v>26</v>
      </c>
      <c r="AD33" t="str">
        <f t="shared" si="15"/>
        <v xml:space="preserve">Alcaldia del Carmen de Viboral </v>
      </c>
      <c r="AE33" s="65">
        <f t="shared" si="16"/>
        <v>45449</v>
      </c>
      <c r="AF33" t="s">
        <v>25</v>
      </c>
      <c r="AG33" t="s">
        <v>26</v>
      </c>
      <c r="AH33" t="s">
        <v>27</v>
      </c>
      <c r="AI33" s="55" t="s">
        <v>81</v>
      </c>
      <c r="AJ33" t="str">
        <f t="shared" si="5"/>
        <v>Si</v>
      </c>
      <c r="AK33" s="68">
        <f t="shared" si="6"/>
        <v>1</v>
      </c>
      <c r="AL33" t="str">
        <f t="shared" si="7"/>
        <v xml:space="preserve">Realizar procedimiento de examenes medicos ocupacionales. </v>
      </c>
      <c r="AM33" t="str">
        <f t="shared" si="0"/>
        <v>3.1.4</v>
      </c>
      <c r="AN33" t="str">
        <f t="shared" si="8"/>
        <v>Cumple</v>
      </c>
      <c r="AO33" t="str">
        <f t="shared" si="17"/>
        <v>06/06/2024</v>
      </c>
      <c r="AP33" t="str">
        <f t="shared" si="9"/>
        <v xml:space="preserve">Realizar procedimiento de examenes medicos ocupacionales. </v>
      </c>
      <c r="AQ33" t="str">
        <f t="shared" si="10"/>
        <v>Art 16/No apl</v>
      </c>
      <c r="AR33" s="82">
        <v>1</v>
      </c>
      <c r="AT33" s="65"/>
      <c r="BA33" s="5" t="s">
        <v>305</v>
      </c>
      <c r="BB33" s="5" t="str">
        <f t="shared" si="11"/>
        <v>X</v>
      </c>
      <c r="BC33" s="5" t="str">
        <f t="shared" si="12"/>
        <v/>
      </c>
      <c r="BD33" s="5" t="str">
        <f t="shared" si="13"/>
        <v/>
      </c>
      <c r="BF33" s="5"/>
      <c r="BG33" s="5" t="str">
        <f t="shared" si="14"/>
        <v/>
      </c>
    </row>
    <row r="34" spans="1:59" ht="50.15" customHeight="1" thickBot="1" x14ac:dyDescent="0.4">
      <c r="A34" s="5"/>
      <c r="B34" s="5"/>
      <c r="C34" s="5"/>
      <c r="D34" s="5"/>
      <c r="E34" s="5"/>
      <c r="F34" s="5"/>
      <c r="G34" t="s">
        <v>46</v>
      </c>
      <c r="I34" s="93">
        <v>27</v>
      </c>
      <c r="J34" s="264"/>
      <c r="K34" s="248"/>
      <c r="L34" s="256"/>
      <c r="M34" s="191" t="str">
        <f>"3.1.5 Custodia de Historias Clínicas"&amp;BG34</f>
        <v>3.1.5 Custodia de Historias Clínicas</v>
      </c>
      <c r="N34" s="192">
        <v>1</v>
      </c>
      <c r="O34" s="246"/>
      <c r="P34" s="192" t="s">
        <v>5</v>
      </c>
      <c r="Q34" s="192"/>
      <c r="R34" s="192"/>
      <c r="S34" s="247"/>
      <c r="T34" s="205"/>
      <c r="U34" s="122">
        <v>27</v>
      </c>
      <c r="V34" s="2">
        <f t="shared" si="1"/>
        <v>1</v>
      </c>
      <c r="W34" s="2">
        <f t="shared" si="2"/>
        <v>1</v>
      </c>
      <c r="X34" s="2">
        <f t="shared" si="3"/>
        <v>1</v>
      </c>
      <c r="Y34" s="2" t="str">
        <f t="shared" si="4"/>
        <v>3.1.5</v>
      </c>
      <c r="Z34" s="268"/>
      <c r="AA34" s="268"/>
      <c r="AB34" s="272"/>
      <c r="AC34" s="58">
        <v>27</v>
      </c>
      <c r="AD34" t="str">
        <f t="shared" si="15"/>
        <v xml:space="preserve">Alcaldia del Carmen de Viboral </v>
      </c>
      <c r="AE34" s="65">
        <f t="shared" si="16"/>
        <v>45449</v>
      </c>
      <c r="AF34" t="s">
        <v>25</v>
      </c>
      <c r="AG34" t="s">
        <v>26</v>
      </c>
      <c r="AH34" t="s">
        <v>27</v>
      </c>
      <c r="AI34" s="55" t="s">
        <v>82</v>
      </c>
      <c r="AJ34" t="str">
        <f t="shared" si="5"/>
        <v>Si</v>
      </c>
      <c r="AK34" s="68">
        <f t="shared" si="6"/>
        <v>1</v>
      </c>
      <c r="AL34" t="str">
        <f t="shared" si="7"/>
        <v/>
      </c>
      <c r="AM34" t="str">
        <f t="shared" si="0"/>
        <v>3.1.5</v>
      </c>
      <c r="AN34" t="str">
        <f t="shared" si="8"/>
        <v>Cumple</v>
      </c>
      <c r="AO34" t="str">
        <f t="shared" si="17"/>
        <v>06/06/2024</v>
      </c>
      <c r="AP34" t="str">
        <f t="shared" si="9"/>
        <v/>
      </c>
      <c r="AQ34" t="str">
        <f t="shared" si="10"/>
        <v>Art 16/No apl</v>
      </c>
      <c r="AR34" s="82">
        <v>1</v>
      </c>
      <c r="AT34" s="65"/>
      <c r="BA34" s="5" t="s">
        <v>305</v>
      </c>
      <c r="BB34" s="5" t="str">
        <f t="shared" si="11"/>
        <v>X</v>
      </c>
      <c r="BC34" s="5" t="str">
        <f t="shared" si="12"/>
        <v/>
      </c>
      <c r="BD34" s="5" t="str">
        <f t="shared" si="13"/>
        <v/>
      </c>
      <c r="BF34" s="5"/>
      <c r="BG34" s="5" t="str">
        <f t="shared" si="14"/>
        <v/>
      </c>
    </row>
    <row r="35" spans="1:59" ht="50.15" customHeight="1" thickBot="1" x14ac:dyDescent="0.4">
      <c r="A35" s="5"/>
      <c r="B35" s="5"/>
      <c r="C35" s="5"/>
      <c r="D35" s="5"/>
      <c r="E35" s="5" t="s">
        <v>5</v>
      </c>
      <c r="F35" s="5">
        <f>$N35</f>
        <v>1</v>
      </c>
      <c r="G35" t="s">
        <v>46</v>
      </c>
      <c r="I35" s="93">
        <v>28</v>
      </c>
      <c r="J35" s="264"/>
      <c r="K35" s="248"/>
      <c r="L35" s="256"/>
      <c r="M35" s="191" t="str">
        <f>"3.1.6 Restricciones y recomendaciones médico/laborales"&amp;BG35</f>
        <v>3.1.6 Restricciones y recomendaciones médico/laborales</v>
      </c>
      <c r="N35" s="192">
        <v>1</v>
      </c>
      <c r="O35" s="246"/>
      <c r="P35" s="190" t="s">
        <v>5</v>
      </c>
      <c r="Q35" s="192"/>
      <c r="R35" s="192"/>
      <c r="S35" s="247"/>
      <c r="T35" s="205"/>
      <c r="U35" s="120">
        <v>28</v>
      </c>
      <c r="V35" s="2">
        <f t="shared" si="1"/>
        <v>1</v>
      </c>
      <c r="W35" s="2">
        <f t="shared" si="2"/>
        <v>1</v>
      </c>
      <c r="X35" s="2">
        <f t="shared" si="3"/>
        <v>1</v>
      </c>
      <c r="Y35" s="2" t="str">
        <f t="shared" si="4"/>
        <v>3.1.6</v>
      </c>
      <c r="Z35" s="268"/>
      <c r="AA35" s="268"/>
      <c r="AB35" s="272"/>
      <c r="AC35" s="58">
        <v>28</v>
      </c>
      <c r="AD35" t="str">
        <f t="shared" si="15"/>
        <v xml:space="preserve">Alcaldia del Carmen de Viboral </v>
      </c>
      <c r="AE35" s="65">
        <f t="shared" si="16"/>
        <v>45449</v>
      </c>
      <c r="AF35" t="s">
        <v>25</v>
      </c>
      <c r="AG35" t="s">
        <v>26</v>
      </c>
      <c r="AH35" t="s">
        <v>27</v>
      </c>
      <c r="AI35" s="55" t="s">
        <v>83</v>
      </c>
      <c r="AJ35" t="str">
        <f t="shared" si="5"/>
        <v>Si</v>
      </c>
      <c r="AK35" s="68">
        <f t="shared" si="6"/>
        <v>1</v>
      </c>
      <c r="AL35" t="str">
        <f t="shared" si="7"/>
        <v/>
      </c>
      <c r="AM35" t="str">
        <f t="shared" si="0"/>
        <v>3.1.6</v>
      </c>
      <c r="AN35" t="str">
        <f t="shared" si="8"/>
        <v>Cumple</v>
      </c>
      <c r="AO35" t="str">
        <f t="shared" si="17"/>
        <v>06/06/2024</v>
      </c>
      <c r="AP35" t="str">
        <f t="shared" si="9"/>
        <v/>
      </c>
      <c r="AQ35" t="str">
        <f t="shared" si="10"/>
        <v>Art 16/No apl</v>
      </c>
      <c r="AR35" s="82">
        <v>1</v>
      </c>
      <c r="AT35" s="65"/>
      <c r="BA35" s="5" t="s">
        <v>305</v>
      </c>
      <c r="BB35" s="5" t="str">
        <f t="shared" si="11"/>
        <v>X</v>
      </c>
      <c r="BC35" s="5" t="str">
        <f t="shared" si="12"/>
        <v/>
      </c>
      <c r="BD35" s="5" t="str">
        <f t="shared" si="13"/>
        <v/>
      </c>
      <c r="BF35" s="5"/>
      <c r="BG35" s="5" t="str">
        <f t="shared" si="14"/>
        <v/>
      </c>
    </row>
    <row r="36" spans="1:59" ht="50.15" customHeight="1" thickBot="1" x14ac:dyDescent="0.4">
      <c r="A36" s="5"/>
      <c r="B36" s="5"/>
      <c r="C36" s="5"/>
      <c r="D36" s="5"/>
      <c r="E36" s="5"/>
      <c r="F36" s="5"/>
      <c r="G36" t="s">
        <v>46</v>
      </c>
      <c r="I36" s="93">
        <v>29</v>
      </c>
      <c r="J36" s="264"/>
      <c r="K36" s="248"/>
      <c r="L36" s="256"/>
      <c r="M36" s="191" t="str">
        <f>"3.1.7 Estilos de vida y entornos saludables (controles tabaquismo, alcoholismo, farmacodependencia y otros)"&amp;BG36</f>
        <v>3.1.7 Estilos de vida y entornos saludables (controles tabaquismo, alcoholismo, farmacodependencia y otros)</v>
      </c>
      <c r="N36" s="192">
        <v>1</v>
      </c>
      <c r="O36" s="246"/>
      <c r="P36" s="192" t="s">
        <v>5</v>
      </c>
      <c r="Q36" s="192"/>
      <c r="R36" s="192"/>
      <c r="S36" s="247"/>
      <c r="T36" s="205" t="s">
        <v>678</v>
      </c>
      <c r="U36" s="122">
        <v>29</v>
      </c>
      <c r="V36" s="2">
        <f t="shared" si="1"/>
        <v>1</v>
      </c>
      <c r="W36" s="2">
        <f t="shared" si="2"/>
        <v>1</v>
      </c>
      <c r="X36" s="2">
        <f t="shared" si="3"/>
        <v>1</v>
      </c>
      <c r="Y36" s="2" t="str">
        <f t="shared" si="4"/>
        <v>3.1.7</v>
      </c>
      <c r="Z36" s="268"/>
      <c r="AA36" s="268"/>
      <c r="AB36" s="272"/>
      <c r="AC36" s="58">
        <v>29</v>
      </c>
      <c r="AD36" t="str">
        <f t="shared" si="15"/>
        <v xml:space="preserve">Alcaldia del Carmen de Viboral </v>
      </c>
      <c r="AE36" s="65">
        <f t="shared" si="16"/>
        <v>45449</v>
      </c>
      <c r="AF36" t="s">
        <v>25</v>
      </c>
      <c r="AG36" t="s">
        <v>26</v>
      </c>
      <c r="AH36" t="s">
        <v>27</v>
      </c>
      <c r="AI36" s="55" t="s">
        <v>84</v>
      </c>
      <c r="AJ36" t="str">
        <f t="shared" si="5"/>
        <v>Si</v>
      </c>
      <c r="AK36" s="68">
        <f t="shared" si="6"/>
        <v>1</v>
      </c>
      <c r="AL36" t="str">
        <f t="shared" si="7"/>
        <v xml:space="preserve">Se socializo la politica pero hay falancias en campañas de prevención al consumo. </v>
      </c>
      <c r="AM36" t="str">
        <f t="shared" si="0"/>
        <v>3.1.7</v>
      </c>
      <c r="AN36" t="str">
        <f t="shared" si="8"/>
        <v>Cumple</v>
      </c>
      <c r="AO36" t="str">
        <f t="shared" si="17"/>
        <v>06/06/2024</v>
      </c>
      <c r="AP36" t="str">
        <f t="shared" si="9"/>
        <v xml:space="preserve">Se socializo la politica pero hay falancias en campañas de prevención al consumo. </v>
      </c>
      <c r="AQ36" t="str">
        <f t="shared" si="10"/>
        <v>Art 16/No apl</v>
      </c>
      <c r="AR36" s="82">
        <v>1</v>
      </c>
      <c r="AT36" s="65"/>
      <c r="BA36" s="5" t="s">
        <v>305</v>
      </c>
      <c r="BB36" s="5" t="str">
        <f t="shared" si="11"/>
        <v>X</v>
      </c>
      <c r="BC36" s="5" t="str">
        <f t="shared" si="12"/>
        <v/>
      </c>
      <c r="BD36" s="5" t="str">
        <f t="shared" si="13"/>
        <v/>
      </c>
      <c r="BF36" s="5"/>
      <c r="BG36" s="5" t="str">
        <f t="shared" si="14"/>
        <v/>
      </c>
    </row>
    <row r="37" spans="1:59" ht="50.15" customHeight="1" thickBot="1" x14ac:dyDescent="0.4">
      <c r="A37" s="5"/>
      <c r="B37" s="5"/>
      <c r="C37" s="5"/>
      <c r="D37" s="5"/>
      <c r="E37" s="5"/>
      <c r="F37" s="5"/>
      <c r="G37" t="s">
        <v>46</v>
      </c>
      <c r="I37" s="93">
        <v>30</v>
      </c>
      <c r="J37" s="264"/>
      <c r="K37" s="248"/>
      <c r="L37" s="256"/>
      <c r="M37" s="191" t="str">
        <f>"3.1.8 Agua potable, servicios sanitarios y disposición de basuras"&amp;BG37</f>
        <v>3.1.8 Agua potable, servicios sanitarios y disposición de basuras</v>
      </c>
      <c r="N37" s="192">
        <v>1</v>
      </c>
      <c r="O37" s="246"/>
      <c r="P37" s="192" t="s">
        <v>5</v>
      </c>
      <c r="Q37" s="192"/>
      <c r="R37" s="192"/>
      <c r="S37" s="247"/>
      <c r="T37" s="205"/>
      <c r="U37" s="120">
        <v>30</v>
      </c>
      <c r="V37" s="2">
        <f t="shared" si="1"/>
        <v>1</v>
      </c>
      <c r="W37" s="2">
        <f t="shared" si="2"/>
        <v>1</v>
      </c>
      <c r="X37" s="2">
        <f t="shared" si="3"/>
        <v>1</v>
      </c>
      <c r="Y37" s="2" t="str">
        <f t="shared" si="4"/>
        <v>3.1.8</v>
      </c>
      <c r="Z37" s="268"/>
      <c r="AA37" s="268"/>
      <c r="AB37" s="272"/>
      <c r="AC37" s="58">
        <v>30</v>
      </c>
      <c r="AD37" t="str">
        <f t="shared" si="15"/>
        <v xml:space="preserve">Alcaldia del Carmen de Viboral </v>
      </c>
      <c r="AE37" s="65">
        <f t="shared" si="16"/>
        <v>45449</v>
      </c>
      <c r="AF37" t="s">
        <v>25</v>
      </c>
      <c r="AG37" t="s">
        <v>26</v>
      </c>
      <c r="AH37" t="s">
        <v>27</v>
      </c>
      <c r="AI37" s="55" t="s">
        <v>85</v>
      </c>
      <c r="AJ37" t="str">
        <f t="shared" si="5"/>
        <v>Si</v>
      </c>
      <c r="AK37" s="68">
        <f t="shared" si="6"/>
        <v>1</v>
      </c>
      <c r="AL37" t="str">
        <f t="shared" si="7"/>
        <v/>
      </c>
      <c r="AM37" t="str">
        <f t="shared" si="0"/>
        <v>3.1.8</v>
      </c>
      <c r="AN37" t="str">
        <f t="shared" si="8"/>
        <v>Cumple</v>
      </c>
      <c r="AO37" t="str">
        <f t="shared" si="17"/>
        <v>06/06/2024</v>
      </c>
      <c r="AP37" t="str">
        <f t="shared" si="9"/>
        <v/>
      </c>
      <c r="AQ37" t="str">
        <f t="shared" si="10"/>
        <v>Art 16/No apl</v>
      </c>
      <c r="AR37" s="82">
        <v>1</v>
      </c>
      <c r="AT37" s="65"/>
      <c r="BA37" s="5" t="s">
        <v>305</v>
      </c>
      <c r="BB37" s="5" t="str">
        <f t="shared" si="11"/>
        <v>X</v>
      </c>
      <c r="BC37" s="5" t="str">
        <f t="shared" si="12"/>
        <v/>
      </c>
      <c r="BD37" s="5" t="str">
        <f t="shared" si="13"/>
        <v/>
      </c>
      <c r="BF37" s="5"/>
      <c r="BG37" s="5" t="str">
        <f t="shared" si="14"/>
        <v/>
      </c>
    </row>
    <row r="38" spans="1:59" ht="50.15" customHeight="1" thickBot="1" x14ac:dyDescent="0.4">
      <c r="A38" s="5"/>
      <c r="B38" s="5"/>
      <c r="C38" s="5"/>
      <c r="D38" s="5"/>
      <c r="E38" s="5"/>
      <c r="F38" s="5"/>
      <c r="G38" t="s">
        <v>46</v>
      </c>
      <c r="I38" s="93">
        <v>31</v>
      </c>
      <c r="J38" s="264"/>
      <c r="K38" s="248"/>
      <c r="L38" s="256"/>
      <c r="M38" s="191" t="str">
        <f>"3.1.9 Eliminación adecuada de residuos sólidos, líquidos o gaseosos"&amp;BG38</f>
        <v>3.1.9 Eliminación adecuada de residuos sólidos, líquidos o gaseosos</v>
      </c>
      <c r="N38" s="192">
        <v>1</v>
      </c>
      <c r="O38" s="246"/>
      <c r="P38" s="192"/>
      <c r="Q38" s="192" t="s">
        <v>5</v>
      </c>
      <c r="R38" s="192"/>
      <c r="S38" s="247"/>
      <c r="T38" s="205"/>
      <c r="U38" s="122">
        <v>31</v>
      </c>
      <c r="V38" s="2">
        <f t="shared" si="1"/>
        <v>1</v>
      </c>
      <c r="W38" s="2">
        <f t="shared" si="2"/>
        <v>1</v>
      </c>
      <c r="X38" s="2">
        <f t="shared" si="3"/>
        <v>0</v>
      </c>
      <c r="Y38" s="2" t="str">
        <f t="shared" si="4"/>
        <v>3.1.9</v>
      </c>
      <c r="Z38" s="268"/>
      <c r="AA38" s="268"/>
      <c r="AB38" s="272"/>
      <c r="AC38" s="58">
        <v>31</v>
      </c>
      <c r="AD38" t="str">
        <f t="shared" si="15"/>
        <v xml:space="preserve">Alcaldia del Carmen de Viboral </v>
      </c>
      <c r="AE38" s="65">
        <f t="shared" si="16"/>
        <v>45449</v>
      </c>
      <c r="AF38" t="s">
        <v>25</v>
      </c>
      <c r="AG38" t="s">
        <v>26</v>
      </c>
      <c r="AH38" t="s">
        <v>27</v>
      </c>
      <c r="AI38" s="55" t="s">
        <v>29</v>
      </c>
      <c r="AJ38" t="str">
        <f t="shared" si="5"/>
        <v>No</v>
      </c>
      <c r="AK38" s="68">
        <f t="shared" si="6"/>
        <v>0</v>
      </c>
      <c r="AL38" t="str">
        <f t="shared" si="7"/>
        <v/>
      </c>
      <c r="AM38" t="str">
        <f t="shared" si="0"/>
        <v>3.1.9</v>
      </c>
      <c r="AN38" t="str">
        <f t="shared" si="8"/>
        <v>No cumple</v>
      </c>
      <c r="AO38" t="str">
        <f t="shared" si="17"/>
        <v>06/06/2024</v>
      </c>
      <c r="AP38" t="str">
        <f t="shared" si="9"/>
        <v/>
      </c>
      <c r="AQ38" t="str">
        <f t="shared" si="10"/>
        <v>Art 16/No apl</v>
      </c>
      <c r="AR38" s="82">
        <v>1</v>
      </c>
      <c r="AT38" s="65"/>
      <c r="BA38" s="5" t="s">
        <v>305</v>
      </c>
      <c r="BB38" s="5" t="str">
        <f t="shared" si="11"/>
        <v>X</v>
      </c>
      <c r="BC38" s="5" t="str">
        <f t="shared" si="12"/>
        <v/>
      </c>
      <c r="BD38" s="5" t="str">
        <f t="shared" si="13"/>
        <v/>
      </c>
      <c r="BF38" s="5"/>
      <c r="BG38" s="5" t="str">
        <f t="shared" si="14"/>
        <v/>
      </c>
    </row>
    <row r="39" spans="1:59" ht="50.15" customHeight="1" thickBot="1" x14ac:dyDescent="0.4">
      <c r="A39" s="5"/>
      <c r="B39" s="5"/>
      <c r="C39" s="5"/>
      <c r="D39" s="5"/>
      <c r="E39" s="5" t="s">
        <v>5</v>
      </c>
      <c r="F39" s="5">
        <f>$N39</f>
        <v>2</v>
      </c>
      <c r="G39" t="s">
        <v>46</v>
      </c>
      <c r="I39" s="93">
        <v>32</v>
      </c>
      <c r="J39" s="264"/>
      <c r="K39" s="248"/>
      <c r="L39" s="256" t="s">
        <v>478</v>
      </c>
      <c r="M39" s="191" t="str">
        <f>"3.2.1 Reporte de los accidentes de trabajo y enfermedad laboral a la ARL, EPS y Dirección Territorial del Ministerio de Trabajo"&amp;BG39</f>
        <v>3.2.1 Reporte de los accidentes de trabajo y enfermedad laboral a la ARL, EPS y Dirección Territorial del Ministerio de Trabajo</v>
      </c>
      <c r="N39" s="192">
        <v>2</v>
      </c>
      <c r="O39" s="246">
        <v>5</v>
      </c>
      <c r="P39" s="190"/>
      <c r="Q39" s="192"/>
      <c r="R39" s="192"/>
      <c r="S39" s="247">
        <f>SUM(X39:X41)</f>
        <v>2</v>
      </c>
      <c r="T39" s="205" t="s">
        <v>679</v>
      </c>
      <c r="U39" s="120">
        <v>32</v>
      </c>
      <c r="V39" s="2">
        <f t="shared" si="1"/>
        <v>0</v>
      </c>
      <c r="W39" s="2">
        <f t="shared" si="2"/>
        <v>0</v>
      </c>
      <c r="X39" s="2">
        <f t="shared" si="3"/>
        <v>0</v>
      </c>
      <c r="Y39" s="2" t="str">
        <f t="shared" si="4"/>
        <v>3.2.1</v>
      </c>
      <c r="Z39" s="268">
        <f>S39/O39</f>
        <v>0.4</v>
      </c>
      <c r="AA39" s="268"/>
      <c r="AB39" s="272"/>
      <c r="AC39" s="58">
        <v>32</v>
      </c>
      <c r="AD39" t="str">
        <f t="shared" si="15"/>
        <v xml:space="preserve">Alcaldia del Carmen de Viboral </v>
      </c>
      <c r="AE39" s="65">
        <f t="shared" si="16"/>
        <v>45449</v>
      </c>
      <c r="AF39" t="s">
        <v>25</v>
      </c>
      <c r="AG39" t="s">
        <v>26</v>
      </c>
      <c r="AH39" t="s">
        <v>30</v>
      </c>
      <c r="AI39" s="55" t="s">
        <v>86</v>
      </c>
      <c r="AJ39" t="str">
        <f t="shared" si="5"/>
        <v>Sin valorar</v>
      </c>
      <c r="AK39" s="68">
        <f t="shared" si="6"/>
        <v>0</v>
      </c>
      <c r="AL39" t="str">
        <f t="shared" si="7"/>
        <v xml:space="preserve">No se realiza reporte a la EPS. </v>
      </c>
      <c r="AM39" t="str">
        <f t="shared" si="0"/>
        <v>3.2.1</v>
      </c>
      <c r="AN39" t="str">
        <f t="shared" si="8"/>
        <v>Sin valorar</v>
      </c>
      <c r="AO39" t="str">
        <f t="shared" si="17"/>
        <v>06/06/2024</v>
      </c>
      <c r="AP39" t="str">
        <f t="shared" si="9"/>
        <v xml:space="preserve">No se realiza reporte a la EPS. </v>
      </c>
      <c r="AQ39" t="str">
        <f t="shared" si="10"/>
        <v>Art 16/No apl</v>
      </c>
      <c r="AR39" s="82">
        <v>1</v>
      </c>
      <c r="AT39" s="65"/>
      <c r="BA39" s="5" t="s">
        <v>305</v>
      </c>
      <c r="BB39" s="5" t="str">
        <f t="shared" si="11"/>
        <v>X</v>
      </c>
      <c r="BC39" s="5" t="str">
        <f t="shared" si="12"/>
        <v/>
      </c>
      <c r="BD39" s="5" t="str">
        <f t="shared" si="13"/>
        <v/>
      </c>
      <c r="BF39" s="5"/>
      <c r="BG39" s="5" t="str">
        <f t="shared" si="14"/>
        <v/>
      </c>
    </row>
    <row r="40" spans="1:59" ht="50.15" customHeight="1" thickBot="1" x14ac:dyDescent="0.4">
      <c r="A40" s="5"/>
      <c r="B40" s="5"/>
      <c r="C40" s="5"/>
      <c r="D40" s="5"/>
      <c r="E40" s="5" t="s">
        <v>5</v>
      </c>
      <c r="F40" s="5">
        <f>$N40</f>
        <v>2</v>
      </c>
      <c r="G40" t="s">
        <v>46</v>
      </c>
      <c r="I40" s="93">
        <v>33</v>
      </c>
      <c r="J40" s="264"/>
      <c r="K40" s="248"/>
      <c r="L40" s="256"/>
      <c r="M40" s="191" t="str">
        <f>"3.2.2 Investigación de Incidentes, Accidentes y Enfermedades Laborales"&amp;BG40</f>
        <v>3.2.2 Investigación de Incidentes, Accidentes y Enfermedades Laborales</v>
      </c>
      <c r="N40" s="192">
        <v>2</v>
      </c>
      <c r="O40" s="246"/>
      <c r="P40" s="190" t="s">
        <v>5</v>
      </c>
      <c r="Q40" s="192"/>
      <c r="R40" s="192"/>
      <c r="S40" s="247"/>
      <c r="T40" s="205"/>
      <c r="U40" s="122">
        <v>33</v>
      </c>
      <c r="V40" s="2">
        <f t="shared" si="1"/>
        <v>1</v>
      </c>
      <c r="W40" s="2">
        <f t="shared" si="2"/>
        <v>1</v>
      </c>
      <c r="X40" s="2">
        <f t="shared" si="3"/>
        <v>2</v>
      </c>
      <c r="Y40" s="2" t="str">
        <f t="shared" si="4"/>
        <v>3.2.2</v>
      </c>
      <c r="Z40" s="268"/>
      <c r="AA40" s="268"/>
      <c r="AB40" s="272"/>
      <c r="AC40" s="58">
        <v>33</v>
      </c>
      <c r="AD40" t="str">
        <f t="shared" si="15"/>
        <v xml:space="preserve">Alcaldia del Carmen de Viboral </v>
      </c>
      <c r="AE40" s="65">
        <f t="shared" si="16"/>
        <v>45449</v>
      </c>
      <c r="AF40" t="s">
        <v>25</v>
      </c>
      <c r="AG40" t="s">
        <v>26</v>
      </c>
      <c r="AH40" t="s">
        <v>30</v>
      </c>
      <c r="AI40" s="55" t="s">
        <v>112</v>
      </c>
      <c r="AJ40" t="str">
        <f t="shared" si="5"/>
        <v>Si</v>
      </c>
      <c r="AK40" s="68">
        <f t="shared" si="6"/>
        <v>2</v>
      </c>
      <c r="AL40" t="str">
        <f t="shared" si="7"/>
        <v/>
      </c>
      <c r="AM40" t="str">
        <f t="shared" ref="AM40:AM62" si="19">Y40</f>
        <v>3.2.2</v>
      </c>
      <c r="AN40" t="str">
        <f t="shared" si="8"/>
        <v>Cumple</v>
      </c>
      <c r="AO40" t="str">
        <f t="shared" si="17"/>
        <v>06/06/2024</v>
      </c>
      <c r="AP40" t="str">
        <f t="shared" si="9"/>
        <v/>
      </c>
      <c r="AQ40" t="str">
        <f t="shared" si="10"/>
        <v>Art 16/No apl</v>
      </c>
      <c r="AR40" s="82">
        <v>1</v>
      </c>
      <c r="AT40" s="65"/>
      <c r="BA40" s="5" t="s">
        <v>305</v>
      </c>
      <c r="BB40" s="5" t="str">
        <f t="shared" si="11"/>
        <v>X</v>
      </c>
      <c r="BC40" s="5" t="str">
        <f t="shared" si="12"/>
        <v/>
      </c>
      <c r="BD40" s="5" t="str">
        <f t="shared" si="13"/>
        <v/>
      </c>
      <c r="BF40" s="5"/>
      <c r="BG40" s="5" t="str">
        <f t="shared" si="14"/>
        <v/>
      </c>
    </row>
    <row r="41" spans="1:59" ht="50.15" customHeight="1" thickBot="1" x14ac:dyDescent="0.4">
      <c r="A41" s="5"/>
      <c r="B41" s="5"/>
      <c r="C41" s="5"/>
      <c r="D41" s="5"/>
      <c r="E41" s="5"/>
      <c r="F41" s="5"/>
      <c r="G41" t="s">
        <v>46</v>
      </c>
      <c r="I41" s="93">
        <v>34</v>
      </c>
      <c r="J41" s="264"/>
      <c r="K41" s="248"/>
      <c r="L41" s="256"/>
      <c r="M41" s="191" t="str">
        <f>"3.2.3 Registro y análisis estadístico de Accidentes y Enfermedades Laborales"&amp;BG41</f>
        <v>3.2.3 Registro y análisis estadístico de Accidentes y Enfermedades Laborales</v>
      </c>
      <c r="N41" s="192">
        <v>1</v>
      </c>
      <c r="O41" s="246"/>
      <c r="P41" s="192"/>
      <c r="Q41" s="192" t="s">
        <v>5</v>
      </c>
      <c r="R41" s="192"/>
      <c r="S41" s="247"/>
      <c r="T41" s="205"/>
      <c r="U41" s="120">
        <v>34</v>
      </c>
      <c r="V41" s="2">
        <f t="shared" si="1"/>
        <v>1</v>
      </c>
      <c r="W41" s="2">
        <f t="shared" si="2"/>
        <v>1</v>
      </c>
      <c r="X41" s="2">
        <f t="shared" si="3"/>
        <v>0</v>
      </c>
      <c r="Y41" s="2" t="str">
        <f t="shared" si="4"/>
        <v>3.2.3</v>
      </c>
      <c r="Z41" s="268"/>
      <c r="AA41" s="268"/>
      <c r="AB41" s="272"/>
      <c r="AC41" s="58">
        <v>34</v>
      </c>
      <c r="AD41" t="str">
        <f t="shared" si="15"/>
        <v xml:space="preserve">Alcaldia del Carmen de Viboral </v>
      </c>
      <c r="AE41" s="65">
        <f t="shared" si="16"/>
        <v>45449</v>
      </c>
      <c r="AF41" t="s">
        <v>25</v>
      </c>
      <c r="AG41" t="s">
        <v>26</v>
      </c>
      <c r="AH41" t="s">
        <v>30</v>
      </c>
      <c r="AI41" s="55" t="s">
        <v>113</v>
      </c>
      <c r="AJ41" t="str">
        <f t="shared" si="5"/>
        <v>No</v>
      </c>
      <c r="AK41" s="68">
        <f t="shared" si="6"/>
        <v>0</v>
      </c>
      <c r="AL41" t="str">
        <f t="shared" si="7"/>
        <v/>
      </c>
      <c r="AM41" t="str">
        <f t="shared" si="19"/>
        <v>3.2.3</v>
      </c>
      <c r="AN41" t="str">
        <f t="shared" si="8"/>
        <v>No cumple</v>
      </c>
      <c r="AO41" t="str">
        <f t="shared" si="17"/>
        <v>06/06/2024</v>
      </c>
      <c r="AP41" t="str">
        <f t="shared" si="9"/>
        <v/>
      </c>
      <c r="AQ41" t="str">
        <f t="shared" si="10"/>
        <v>Art 16/No apl</v>
      </c>
      <c r="AR41" s="82">
        <v>1</v>
      </c>
      <c r="AT41" s="65"/>
      <c r="BA41" s="5" t="s">
        <v>305</v>
      </c>
      <c r="BB41" s="5" t="str">
        <f t="shared" si="11"/>
        <v>X</v>
      </c>
      <c r="BC41" s="5" t="str">
        <f t="shared" si="12"/>
        <v/>
      </c>
      <c r="BD41" s="5" t="str">
        <f t="shared" si="13"/>
        <v/>
      </c>
      <c r="BF41" s="5"/>
      <c r="BG41" s="5" t="str">
        <f t="shared" si="14"/>
        <v/>
      </c>
    </row>
    <row r="42" spans="1:59" ht="50.15" customHeight="1" thickBot="1" x14ac:dyDescent="0.4">
      <c r="A42" s="5"/>
      <c r="B42" s="5"/>
      <c r="C42" s="5"/>
      <c r="D42" s="5"/>
      <c r="E42" s="5"/>
      <c r="F42" s="5"/>
      <c r="G42" t="s">
        <v>46</v>
      </c>
      <c r="I42" s="93">
        <v>35</v>
      </c>
      <c r="J42" s="264"/>
      <c r="K42" s="248"/>
      <c r="L42" s="256" t="s">
        <v>471</v>
      </c>
      <c r="M42" s="191" t="str">
        <f>"3.3.1 Medición de la frecuencia de la accidentalidad"&amp;BG42</f>
        <v>3.3.1 Medición de la frecuencia de la accidentalidad</v>
      </c>
      <c r="N42" s="192">
        <v>1</v>
      </c>
      <c r="O42" s="246">
        <v>6</v>
      </c>
      <c r="P42" s="192"/>
      <c r="Q42" s="192" t="s">
        <v>5</v>
      </c>
      <c r="R42" s="192"/>
      <c r="S42" s="247">
        <f>SUM(X42:X47)</f>
        <v>0</v>
      </c>
      <c r="T42" s="205"/>
      <c r="U42" s="122">
        <v>35</v>
      </c>
      <c r="V42" s="2">
        <f t="shared" si="1"/>
        <v>1</v>
      </c>
      <c r="W42" s="2">
        <f t="shared" si="2"/>
        <v>1</v>
      </c>
      <c r="X42" s="2">
        <f t="shared" si="3"/>
        <v>0</v>
      </c>
      <c r="Y42" s="2" t="str">
        <f t="shared" si="4"/>
        <v>3.3.1</v>
      </c>
      <c r="Z42" s="268">
        <f>S42/O42</f>
        <v>0</v>
      </c>
      <c r="AA42" s="268"/>
      <c r="AB42" s="272"/>
      <c r="AC42" s="58">
        <v>35</v>
      </c>
      <c r="AD42" t="str">
        <f t="shared" si="15"/>
        <v xml:space="preserve">Alcaldia del Carmen de Viboral </v>
      </c>
      <c r="AE42" s="65">
        <f t="shared" si="16"/>
        <v>45449</v>
      </c>
      <c r="AF42" t="s">
        <v>25</v>
      </c>
      <c r="AG42" t="s">
        <v>26</v>
      </c>
      <c r="AH42" t="s">
        <v>31</v>
      </c>
      <c r="AI42" s="55" t="s">
        <v>87</v>
      </c>
      <c r="AJ42" t="str">
        <f t="shared" si="5"/>
        <v>No</v>
      </c>
      <c r="AK42" s="68">
        <f t="shared" si="6"/>
        <v>0</v>
      </c>
      <c r="AL42" t="str">
        <f t="shared" si="7"/>
        <v/>
      </c>
      <c r="AM42" t="str">
        <f t="shared" si="19"/>
        <v>3.3.1</v>
      </c>
      <c r="AN42" t="str">
        <f t="shared" si="8"/>
        <v>No cumple</v>
      </c>
      <c r="AO42" t="str">
        <f t="shared" si="17"/>
        <v>06/06/2024</v>
      </c>
      <c r="AP42" t="str">
        <f t="shared" si="9"/>
        <v/>
      </c>
      <c r="AQ42" t="str">
        <f t="shared" si="10"/>
        <v>Art 16/No apl</v>
      </c>
      <c r="AR42" s="82">
        <v>1</v>
      </c>
      <c r="AT42" s="65"/>
      <c r="BA42" s="5" t="s">
        <v>305</v>
      </c>
      <c r="BB42" s="5" t="str">
        <f t="shared" si="11"/>
        <v>X</v>
      </c>
      <c r="BC42" s="5" t="str">
        <f t="shared" si="12"/>
        <v/>
      </c>
      <c r="BD42" s="5" t="str">
        <f t="shared" si="13"/>
        <v/>
      </c>
      <c r="BF42" s="5"/>
      <c r="BG42" s="5" t="str">
        <f t="shared" si="14"/>
        <v/>
      </c>
    </row>
    <row r="43" spans="1:59" ht="50.15" customHeight="1" thickBot="1" x14ac:dyDescent="0.4">
      <c r="A43" s="5"/>
      <c r="B43" s="5"/>
      <c r="C43" s="5"/>
      <c r="D43" s="5"/>
      <c r="E43" s="5"/>
      <c r="F43" s="5"/>
      <c r="G43" t="s">
        <v>46</v>
      </c>
      <c r="I43" s="93">
        <v>36</v>
      </c>
      <c r="J43" s="264"/>
      <c r="K43" s="248"/>
      <c r="L43" s="256"/>
      <c r="M43" s="191" t="str">
        <f>"3.3.2 Medición de la severidad de la accidentalidad"&amp;BG43</f>
        <v>3.3.2 Medición de la severidad de la accidentalidad</v>
      </c>
      <c r="N43" s="192">
        <v>1</v>
      </c>
      <c r="O43" s="246"/>
      <c r="P43" s="192"/>
      <c r="Q43" s="192" t="s">
        <v>5</v>
      </c>
      <c r="R43" s="192"/>
      <c r="S43" s="247"/>
      <c r="T43" s="205"/>
      <c r="U43" s="120">
        <v>36</v>
      </c>
      <c r="V43" s="2">
        <f t="shared" si="1"/>
        <v>1</v>
      </c>
      <c r="W43" s="2">
        <f t="shared" si="2"/>
        <v>1</v>
      </c>
      <c r="X43" s="2">
        <f t="shared" si="3"/>
        <v>0</v>
      </c>
      <c r="Y43" s="2" t="str">
        <f t="shared" si="4"/>
        <v>3.3.2</v>
      </c>
      <c r="Z43" s="268"/>
      <c r="AA43" s="268"/>
      <c r="AB43" s="272"/>
      <c r="AC43" s="58">
        <v>36</v>
      </c>
      <c r="AD43" t="str">
        <f t="shared" si="15"/>
        <v xml:space="preserve">Alcaldia del Carmen de Viboral </v>
      </c>
      <c r="AE43" s="65">
        <f t="shared" si="16"/>
        <v>45449</v>
      </c>
      <c r="AF43" t="s">
        <v>25</v>
      </c>
      <c r="AG43" t="s">
        <v>26</v>
      </c>
      <c r="AH43" t="s">
        <v>31</v>
      </c>
      <c r="AI43" s="55" t="s">
        <v>88</v>
      </c>
      <c r="AJ43" t="str">
        <f t="shared" si="5"/>
        <v>No</v>
      </c>
      <c r="AK43" s="68">
        <f t="shared" si="6"/>
        <v>0</v>
      </c>
      <c r="AL43" t="str">
        <f t="shared" si="7"/>
        <v/>
      </c>
      <c r="AM43" t="str">
        <f t="shared" si="19"/>
        <v>3.3.2</v>
      </c>
      <c r="AN43" t="str">
        <f t="shared" si="8"/>
        <v>No cumple</v>
      </c>
      <c r="AO43" t="str">
        <f t="shared" si="17"/>
        <v>06/06/2024</v>
      </c>
      <c r="AP43" t="str">
        <f t="shared" si="9"/>
        <v/>
      </c>
      <c r="AQ43" t="str">
        <f t="shared" si="10"/>
        <v>Art 16/No apl</v>
      </c>
      <c r="AR43" s="82">
        <v>1</v>
      </c>
      <c r="AT43" s="65"/>
      <c r="BA43" s="5" t="s">
        <v>305</v>
      </c>
      <c r="BB43" s="5" t="str">
        <f t="shared" si="11"/>
        <v>X</v>
      </c>
      <c r="BC43" s="5" t="str">
        <f t="shared" si="12"/>
        <v/>
      </c>
      <c r="BD43" s="5" t="str">
        <f t="shared" si="13"/>
        <v/>
      </c>
      <c r="BF43" s="5"/>
      <c r="BG43" s="5" t="str">
        <f t="shared" si="14"/>
        <v/>
      </c>
    </row>
    <row r="44" spans="1:59" ht="50.15" customHeight="1" thickBot="1" x14ac:dyDescent="0.4">
      <c r="A44" s="5"/>
      <c r="B44" s="5"/>
      <c r="C44" s="5"/>
      <c r="D44" s="5"/>
      <c r="E44" s="5"/>
      <c r="F44" s="5"/>
      <c r="G44" t="s">
        <v>46</v>
      </c>
      <c r="I44" s="93">
        <v>37</v>
      </c>
      <c r="J44" s="264"/>
      <c r="K44" s="248"/>
      <c r="L44" s="256"/>
      <c r="M44" s="191" t="str">
        <f>"3.3.3 Medición de la mortalidad por Accidente de Trabajo"&amp;BG44</f>
        <v>3.3.3 Medición de la mortalidad por Accidente de Trabajo</v>
      </c>
      <c r="N44" s="192">
        <v>1</v>
      </c>
      <c r="O44" s="246"/>
      <c r="P44" s="192"/>
      <c r="Q44" s="192" t="s">
        <v>5</v>
      </c>
      <c r="R44" s="192"/>
      <c r="S44" s="247"/>
      <c r="T44" s="205"/>
      <c r="U44" s="122">
        <v>37</v>
      </c>
      <c r="V44" s="2">
        <f t="shared" si="1"/>
        <v>1</v>
      </c>
      <c r="W44" s="2">
        <f t="shared" si="2"/>
        <v>1</v>
      </c>
      <c r="X44" s="2">
        <f t="shared" si="3"/>
        <v>0</v>
      </c>
      <c r="Y44" s="2" t="str">
        <f t="shared" si="4"/>
        <v>3.3.3</v>
      </c>
      <c r="Z44" s="268"/>
      <c r="AA44" s="268"/>
      <c r="AB44" s="272"/>
      <c r="AC44" s="58">
        <v>37</v>
      </c>
      <c r="AD44" t="str">
        <f t="shared" si="15"/>
        <v xml:space="preserve">Alcaldia del Carmen de Viboral </v>
      </c>
      <c r="AE44" s="65">
        <f t="shared" si="16"/>
        <v>45449</v>
      </c>
      <c r="AF44" t="s">
        <v>25</v>
      </c>
      <c r="AG44" t="s">
        <v>26</v>
      </c>
      <c r="AH44" t="s">
        <v>31</v>
      </c>
      <c r="AI44" s="55" t="s">
        <v>89</v>
      </c>
      <c r="AJ44" t="str">
        <f t="shared" si="5"/>
        <v>No</v>
      </c>
      <c r="AK44" s="68">
        <f t="shared" si="6"/>
        <v>0</v>
      </c>
      <c r="AL44" t="str">
        <f t="shared" si="7"/>
        <v/>
      </c>
      <c r="AM44" t="str">
        <f t="shared" si="19"/>
        <v>3.3.3</v>
      </c>
      <c r="AN44" t="str">
        <f t="shared" si="8"/>
        <v>No cumple</v>
      </c>
      <c r="AO44" t="str">
        <f t="shared" si="17"/>
        <v>06/06/2024</v>
      </c>
      <c r="AP44" t="str">
        <f t="shared" si="9"/>
        <v/>
      </c>
      <c r="AQ44" t="str">
        <f t="shared" si="10"/>
        <v>Art 16/No apl</v>
      </c>
      <c r="AR44" s="82">
        <v>1</v>
      </c>
      <c r="AT44" s="65"/>
      <c r="BA44" s="5" t="s">
        <v>305</v>
      </c>
      <c r="BB44" s="5" t="str">
        <f t="shared" si="11"/>
        <v>X</v>
      </c>
      <c r="BC44" s="5" t="str">
        <f t="shared" si="12"/>
        <v/>
      </c>
      <c r="BD44" s="5" t="str">
        <f t="shared" si="13"/>
        <v/>
      </c>
      <c r="BF44" s="5"/>
      <c r="BG44" s="5" t="str">
        <f t="shared" si="14"/>
        <v/>
      </c>
    </row>
    <row r="45" spans="1:59" ht="50.15" customHeight="1" thickBot="1" x14ac:dyDescent="0.4">
      <c r="A45" s="5"/>
      <c r="B45" s="5"/>
      <c r="C45" s="5"/>
      <c r="D45" s="5"/>
      <c r="E45" s="5"/>
      <c r="F45" s="5"/>
      <c r="G45" t="s">
        <v>46</v>
      </c>
      <c r="I45" s="93">
        <v>38</v>
      </c>
      <c r="J45" s="264"/>
      <c r="K45" s="248"/>
      <c r="L45" s="256"/>
      <c r="M45" s="191" t="str">
        <f>"3.3.4 Medición de la prevalencia de Enfermedad Laboral"&amp;BG45</f>
        <v>3.3.4 Medición de la prevalencia de Enfermedad Laboral</v>
      </c>
      <c r="N45" s="192">
        <v>1</v>
      </c>
      <c r="O45" s="246"/>
      <c r="P45" s="192"/>
      <c r="Q45" s="192" t="s">
        <v>5</v>
      </c>
      <c r="R45" s="192"/>
      <c r="S45" s="247"/>
      <c r="T45" s="205"/>
      <c r="U45" s="120">
        <v>38</v>
      </c>
      <c r="V45" s="2">
        <f t="shared" si="1"/>
        <v>1</v>
      </c>
      <c r="W45" s="2">
        <f t="shared" si="2"/>
        <v>1</v>
      </c>
      <c r="X45" s="2">
        <f t="shared" si="3"/>
        <v>0</v>
      </c>
      <c r="Y45" s="2" t="str">
        <f t="shared" si="4"/>
        <v>3.3.4</v>
      </c>
      <c r="Z45" s="268"/>
      <c r="AA45" s="268"/>
      <c r="AB45" s="272"/>
      <c r="AC45" s="58">
        <v>38</v>
      </c>
      <c r="AD45" t="str">
        <f t="shared" si="15"/>
        <v xml:space="preserve">Alcaldia del Carmen de Viboral </v>
      </c>
      <c r="AE45" s="65">
        <f t="shared" si="16"/>
        <v>45449</v>
      </c>
      <c r="AF45" t="s">
        <v>25</v>
      </c>
      <c r="AG45" t="s">
        <v>26</v>
      </c>
      <c r="AH45" t="s">
        <v>31</v>
      </c>
      <c r="AI45" s="55" t="s">
        <v>90</v>
      </c>
      <c r="AJ45" t="str">
        <f t="shared" si="5"/>
        <v>No</v>
      </c>
      <c r="AK45" s="68">
        <f t="shared" si="6"/>
        <v>0</v>
      </c>
      <c r="AL45" t="str">
        <f t="shared" si="7"/>
        <v/>
      </c>
      <c r="AM45" t="str">
        <f t="shared" si="19"/>
        <v>3.3.4</v>
      </c>
      <c r="AN45" t="str">
        <f t="shared" si="8"/>
        <v>No cumple</v>
      </c>
      <c r="AO45" t="str">
        <f t="shared" si="17"/>
        <v>06/06/2024</v>
      </c>
      <c r="AP45" t="str">
        <f t="shared" si="9"/>
        <v/>
      </c>
      <c r="AQ45" t="str">
        <f t="shared" si="10"/>
        <v>Art 16/No apl</v>
      </c>
      <c r="AR45" s="82">
        <v>1</v>
      </c>
      <c r="AT45" s="65"/>
      <c r="BA45" s="5" t="s">
        <v>305</v>
      </c>
      <c r="BB45" s="5" t="str">
        <f t="shared" si="11"/>
        <v>X</v>
      </c>
      <c r="BC45" s="5" t="str">
        <f t="shared" si="12"/>
        <v/>
      </c>
      <c r="BD45" s="5" t="str">
        <f t="shared" si="13"/>
        <v/>
      </c>
      <c r="BF45" s="5"/>
      <c r="BG45" s="5" t="str">
        <f t="shared" si="14"/>
        <v/>
      </c>
    </row>
    <row r="46" spans="1:59" ht="50.15" customHeight="1" thickBot="1" x14ac:dyDescent="0.4">
      <c r="A46" s="5"/>
      <c r="B46" s="5"/>
      <c r="C46" s="5"/>
      <c r="D46" s="5"/>
      <c r="E46" s="5"/>
      <c r="F46" s="5"/>
      <c r="G46" t="s">
        <v>46</v>
      </c>
      <c r="I46" s="93">
        <v>39</v>
      </c>
      <c r="J46" s="264"/>
      <c r="K46" s="248"/>
      <c r="L46" s="256"/>
      <c r="M46" s="191" t="str">
        <f>"3.3.5 Medición de la incidencia de Enfermedad Laboral"&amp;BG46</f>
        <v>3.3.5 Medición de la incidencia de Enfermedad Laboral</v>
      </c>
      <c r="N46" s="192">
        <v>1</v>
      </c>
      <c r="O46" s="246"/>
      <c r="P46" s="192"/>
      <c r="Q46" s="192" t="s">
        <v>5</v>
      </c>
      <c r="R46" s="192"/>
      <c r="S46" s="247"/>
      <c r="T46" s="205"/>
      <c r="U46" s="122">
        <v>39</v>
      </c>
      <c r="V46" s="2">
        <f t="shared" si="1"/>
        <v>1</v>
      </c>
      <c r="W46" s="2">
        <f t="shared" si="2"/>
        <v>1</v>
      </c>
      <c r="X46" s="2">
        <f t="shared" si="3"/>
        <v>0</v>
      </c>
      <c r="Y46" s="2" t="str">
        <f t="shared" si="4"/>
        <v>3.3.5</v>
      </c>
      <c r="Z46" s="268"/>
      <c r="AA46" s="268"/>
      <c r="AB46" s="272"/>
      <c r="AC46" s="58">
        <v>39</v>
      </c>
      <c r="AD46" t="str">
        <f t="shared" si="15"/>
        <v xml:space="preserve">Alcaldia del Carmen de Viboral </v>
      </c>
      <c r="AE46" s="65">
        <f t="shared" si="16"/>
        <v>45449</v>
      </c>
      <c r="AF46" t="s">
        <v>25</v>
      </c>
      <c r="AG46" t="s">
        <v>26</v>
      </c>
      <c r="AH46" t="s">
        <v>31</v>
      </c>
      <c r="AI46" s="55" t="s">
        <v>91</v>
      </c>
      <c r="AJ46" t="str">
        <f t="shared" si="5"/>
        <v>No</v>
      </c>
      <c r="AK46" s="68">
        <f t="shared" si="6"/>
        <v>0</v>
      </c>
      <c r="AL46" t="str">
        <f t="shared" si="7"/>
        <v/>
      </c>
      <c r="AM46" t="str">
        <f t="shared" si="19"/>
        <v>3.3.5</v>
      </c>
      <c r="AN46" t="str">
        <f t="shared" si="8"/>
        <v>No cumple</v>
      </c>
      <c r="AO46" t="str">
        <f t="shared" si="17"/>
        <v>06/06/2024</v>
      </c>
      <c r="AP46" t="str">
        <f t="shared" si="9"/>
        <v/>
      </c>
      <c r="AQ46" t="str">
        <f t="shared" si="10"/>
        <v>Art 16/No apl</v>
      </c>
      <c r="AR46" s="82">
        <v>1</v>
      </c>
      <c r="AT46" s="65"/>
      <c r="BA46" s="5" t="s">
        <v>305</v>
      </c>
      <c r="BB46" s="5" t="str">
        <f t="shared" si="11"/>
        <v>X</v>
      </c>
      <c r="BC46" s="5" t="str">
        <f t="shared" si="12"/>
        <v/>
      </c>
      <c r="BD46" s="5" t="str">
        <f t="shared" si="13"/>
        <v/>
      </c>
      <c r="BF46" s="5"/>
      <c r="BG46" s="5" t="str">
        <f t="shared" si="14"/>
        <v/>
      </c>
    </row>
    <row r="47" spans="1:59" ht="50.15" customHeight="1" thickBot="1" x14ac:dyDescent="0.4">
      <c r="A47" s="5"/>
      <c r="B47" s="5"/>
      <c r="C47" s="5"/>
      <c r="D47" s="5"/>
      <c r="E47" s="5"/>
      <c r="F47" s="5"/>
      <c r="G47" t="s">
        <v>46</v>
      </c>
      <c r="I47" s="93">
        <v>40</v>
      </c>
      <c r="J47" s="264"/>
      <c r="K47" s="248"/>
      <c r="L47" s="256"/>
      <c r="M47" s="191" t="str">
        <f>"3.3.6 Medición del ausentismo por causa médica"&amp;BG47</f>
        <v>3.3.6 Medición del ausentismo por causa médica</v>
      </c>
      <c r="N47" s="192">
        <v>1</v>
      </c>
      <c r="O47" s="246"/>
      <c r="P47" s="192"/>
      <c r="Q47" s="192" t="s">
        <v>5</v>
      </c>
      <c r="R47" s="192"/>
      <c r="S47" s="247"/>
      <c r="T47" s="205"/>
      <c r="U47" s="120">
        <v>40</v>
      </c>
      <c r="V47" s="2">
        <f t="shared" si="1"/>
        <v>1</v>
      </c>
      <c r="W47" s="2">
        <f t="shared" si="2"/>
        <v>1</v>
      </c>
      <c r="X47" s="2">
        <f t="shared" si="3"/>
        <v>0</v>
      </c>
      <c r="Y47" s="2" t="str">
        <f t="shared" si="4"/>
        <v>3.3.6</v>
      </c>
      <c r="Z47" s="268"/>
      <c r="AA47" s="268"/>
      <c r="AB47" s="272"/>
      <c r="AC47" s="58">
        <v>40</v>
      </c>
      <c r="AD47" t="str">
        <f t="shared" si="15"/>
        <v xml:space="preserve">Alcaldia del Carmen de Viboral </v>
      </c>
      <c r="AE47" s="65">
        <f t="shared" si="16"/>
        <v>45449</v>
      </c>
      <c r="AF47" t="s">
        <v>25</v>
      </c>
      <c r="AG47" t="s">
        <v>26</v>
      </c>
      <c r="AH47" t="s">
        <v>31</v>
      </c>
      <c r="AI47" s="55" t="s">
        <v>92</v>
      </c>
      <c r="AJ47" t="str">
        <f t="shared" si="5"/>
        <v>No</v>
      </c>
      <c r="AK47" s="68">
        <f t="shared" si="6"/>
        <v>0</v>
      </c>
      <c r="AL47" t="str">
        <f t="shared" si="7"/>
        <v/>
      </c>
      <c r="AM47" t="str">
        <f t="shared" si="19"/>
        <v>3.3.6</v>
      </c>
      <c r="AN47" t="str">
        <f t="shared" si="8"/>
        <v>No cumple</v>
      </c>
      <c r="AO47" t="str">
        <f t="shared" si="17"/>
        <v>06/06/2024</v>
      </c>
      <c r="AP47" t="str">
        <f t="shared" si="9"/>
        <v/>
      </c>
      <c r="AQ47" t="str">
        <f t="shared" si="10"/>
        <v>Art 16/No apl</v>
      </c>
      <c r="AR47" s="82">
        <v>1</v>
      </c>
      <c r="AT47" s="65"/>
      <c r="BA47" s="5" t="s">
        <v>305</v>
      </c>
      <c r="BB47" s="5" t="str">
        <f t="shared" si="11"/>
        <v>X</v>
      </c>
      <c r="BC47" s="5" t="str">
        <f t="shared" si="12"/>
        <v/>
      </c>
      <c r="BD47" s="5" t="str">
        <f t="shared" si="13"/>
        <v/>
      </c>
      <c r="BF47" s="5"/>
      <c r="BG47" s="5" t="str">
        <f t="shared" si="14"/>
        <v/>
      </c>
    </row>
    <row r="48" spans="1:59" ht="50.15" customHeight="1" thickBot="1" x14ac:dyDescent="0.4">
      <c r="A48" s="5"/>
      <c r="B48" s="5"/>
      <c r="C48" s="5"/>
      <c r="D48" s="5"/>
      <c r="E48" s="5"/>
      <c r="F48" s="5"/>
      <c r="G48" t="s">
        <v>46</v>
      </c>
      <c r="I48" s="93">
        <v>41</v>
      </c>
      <c r="J48" s="264"/>
      <c r="K48" s="239" t="s">
        <v>482</v>
      </c>
      <c r="L48" s="240" t="s">
        <v>467</v>
      </c>
      <c r="M48" s="189" t="str">
        <f>"4.1.1 Metodología para la identificación de peligros, evaluación y valoración de los riesgos"&amp;BG48</f>
        <v>4.1.1 Metodología para la identificación de peligros, evaluación y valoración de los riesgos</v>
      </c>
      <c r="N48" s="190">
        <v>4</v>
      </c>
      <c r="O48" s="241">
        <v>15</v>
      </c>
      <c r="P48" s="190" t="s">
        <v>5</v>
      </c>
      <c r="Q48" s="190"/>
      <c r="R48" s="190"/>
      <c r="S48" s="245">
        <f>SUM(X48:X51)</f>
        <v>4</v>
      </c>
      <c r="T48" s="205" t="s">
        <v>680</v>
      </c>
      <c r="U48" s="122">
        <v>41</v>
      </c>
      <c r="V48" s="2">
        <f t="shared" si="1"/>
        <v>1</v>
      </c>
      <c r="W48" s="2">
        <f t="shared" si="2"/>
        <v>1</v>
      </c>
      <c r="X48" s="2">
        <f t="shared" si="3"/>
        <v>4</v>
      </c>
      <c r="Y48" s="2" t="str">
        <f t="shared" si="4"/>
        <v>4.1.1</v>
      </c>
      <c r="Z48" s="268">
        <f>S48/O48</f>
        <v>0.26666666666666666</v>
      </c>
      <c r="AA48" s="268">
        <f>(S48+S52)/(O48+O52)</f>
        <v>0.3</v>
      </c>
      <c r="AB48" s="272"/>
      <c r="AC48" s="58">
        <v>41</v>
      </c>
      <c r="AD48" t="str">
        <f t="shared" si="15"/>
        <v xml:space="preserve">Alcaldia del Carmen de Viboral </v>
      </c>
      <c r="AE48" s="65">
        <f t="shared" si="16"/>
        <v>45449</v>
      </c>
      <c r="AF48" t="s">
        <v>25</v>
      </c>
      <c r="AG48" t="s">
        <v>32</v>
      </c>
      <c r="AH48" t="s">
        <v>33</v>
      </c>
      <c r="AI48" s="55" t="s">
        <v>93</v>
      </c>
      <c r="AJ48" t="str">
        <f t="shared" si="5"/>
        <v>Si</v>
      </c>
      <c r="AK48" s="68">
        <f t="shared" si="6"/>
        <v>4</v>
      </c>
      <c r="AL48" t="str">
        <f t="shared" si="7"/>
        <v>Con la GTC 45</v>
      </c>
      <c r="AM48" t="str">
        <f t="shared" si="19"/>
        <v>4.1.1</v>
      </c>
      <c r="AN48" t="str">
        <f t="shared" si="8"/>
        <v>Cumple</v>
      </c>
      <c r="AO48" t="str">
        <f t="shared" si="17"/>
        <v>06/06/2024</v>
      </c>
      <c r="AP48" t="str">
        <f t="shared" si="9"/>
        <v>Con la GTC 45</v>
      </c>
      <c r="AQ48" t="str">
        <f t="shared" si="10"/>
        <v>Art 16/No apl</v>
      </c>
      <c r="AR48" s="82">
        <v>1</v>
      </c>
      <c r="AT48" s="65"/>
      <c r="BA48" s="5" t="s">
        <v>305</v>
      </c>
      <c r="BB48" s="5" t="str">
        <f t="shared" si="11"/>
        <v>X</v>
      </c>
      <c r="BC48" s="5" t="str">
        <f t="shared" si="12"/>
        <v/>
      </c>
      <c r="BD48" s="5" t="str">
        <f t="shared" si="13"/>
        <v/>
      </c>
      <c r="BF48" s="5"/>
      <c r="BG48" s="5" t="str">
        <f t="shared" si="14"/>
        <v/>
      </c>
    </row>
    <row r="49" spans="1:59" ht="50.15" customHeight="1" thickBot="1" x14ac:dyDescent="0.4">
      <c r="A49" s="5" t="s">
        <v>5</v>
      </c>
      <c r="B49" s="5">
        <f>$N49</f>
        <v>4</v>
      </c>
      <c r="C49" s="5" t="s">
        <v>5</v>
      </c>
      <c r="D49" s="5">
        <f>$N49</f>
        <v>4</v>
      </c>
      <c r="E49" s="5" t="s">
        <v>5</v>
      </c>
      <c r="F49" s="5">
        <f>$N49</f>
        <v>4</v>
      </c>
      <c r="G49" t="s">
        <v>46</v>
      </c>
      <c r="I49" s="93">
        <v>42</v>
      </c>
      <c r="J49" s="264"/>
      <c r="K49" s="239"/>
      <c r="L49" s="260"/>
      <c r="M49" s="189" t="str">
        <f>"4.1.2 Identificación de peligros con participación de todos los niveles de la empresa"&amp;BG49</f>
        <v>4.1.2 Identificación de peligros con participación de todos los niveles de la empresa</v>
      </c>
      <c r="N49" s="190">
        <v>4</v>
      </c>
      <c r="O49" s="241"/>
      <c r="P49" s="190"/>
      <c r="Q49" s="190" t="s">
        <v>5</v>
      </c>
      <c r="R49" s="190"/>
      <c r="S49" s="245"/>
      <c r="T49" s="205"/>
      <c r="U49" s="120">
        <v>42</v>
      </c>
      <c r="V49" s="2">
        <f t="shared" si="1"/>
        <v>1</v>
      </c>
      <c r="W49" s="2">
        <f t="shared" si="2"/>
        <v>1</v>
      </c>
      <c r="X49" s="2">
        <f t="shared" si="3"/>
        <v>0</v>
      </c>
      <c r="Y49" s="2" t="str">
        <f t="shared" si="4"/>
        <v>4.1.2</v>
      </c>
      <c r="Z49" s="268"/>
      <c r="AA49" s="268"/>
      <c r="AB49" s="272"/>
      <c r="AC49" s="58">
        <v>42</v>
      </c>
      <c r="AD49" t="str">
        <f t="shared" si="15"/>
        <v xml:space="preserve">Alcaldia del Carmen de Viboral </v>
      </c>
      <c r="AE49" s="65">
        <f t="shared" si="16"/>
        <v>45449</v>
      </c>
      <c r="AF49" t="s">
        <v>25</v>
      </c>
      <c r="AG49" t="s">
        <v>32</v>
      </c>
      <c r="AH49" t="s">
        <v>33</v>
      </c>
      <c r="AI49" s="55" t="s">
        <v>94</v>
      </c>
      <c r="AJ49" t="str">
        <f t="shared" si="5"/>
        <v>No</v>
      </c>
      <c r="AK49" s="68">
        <f t="shared" si="6"/>
        <v>0</v>
      </c>
      <c r="AL49" t="str">
        <f t="shared" si="7"/>
        <v/>
      </c>
      <c r="AM49" t="str">
        <f t="shared" si="19"/>
        <v>4.1.2</v>
      </c>
      <c r="AN49" t="str">
        <f t="shared" si="8"/>
        <v>No cumple</v>
      </c>
      <c r="AO49" t="str">
        <f t="shared" si="17"/>
        <v>06/06/2024</v>
      </c>
      <c r="AP49" t="str">
        <f t="shared" si="9"/>
        <v/>
      </c>
      <c r="AQ49" t="str">
        <f t="shared" si="10"/>
        <v>Art 16/No apl</v>
      </c>
      <c r="AR49" s="82">
        <v>1</v>
      </c>
      <c r="AT49" s="65"/>
      <c r="BA49" s="5" t="s">
        <v>305</v>
      </c>
      <c r="BB49" s="5" t="str">
        <f t="shared" si="11"/>
        <v>X</v>
      </c>
      <c r="BC49" s="5" t="str">
        <f t="shared" si="12"/>
        <v/>
      </c>
      <c r="BD49" s="5" t="str">
        <f t="shared" si="13"/>
        <v/>
      </c>
      <c r="BF49" s="5"/>
      <c r="BG49" s="5" t="str">
        <f t="shared" si="14"/>
        <v/>
      </c>
    </row>
    <row r="50" spans="1:59" ht="50.15" customHeight="1" thickBot="1" x14ac:dyDescent="0.4">
      <c r="A50" s="5"/>
      <c r="B50" s="5"/>
      <c r="C50" s="5"/>
      <c r="D50" s="5"/>
      <c r="E50" s="5"/>
      <c r="F50" s="5"/>
      <c r="G50" t="s">
        <v>46</v>
      </c>
      <c r="I50" s="93">
        <v>43</v>
      </c>
      <c r="J50" s="264"/>
      <c r="K50" s="239"/>
      <c r="L50" s="240"/>
      <c r="M50" s="189" t="str">
        <f>"4.1.3 Identificación de sustancias catalogadas como carcinógenas o con toxicidad aguda"&amp;BG50</f>
        <v>4.1.3 Identificación de sustancias catalogadas como carcinógenas o con toxicidad aguda</v>
      </c>
      <c r="N50" s="190">
        <v>3</v>
      </c>
      <c r="O50" s="241"/>
      <c r="P50" s="190"/>
      <c r="Q50" s="190" t="s">
        <v>5</v>
      </c>
      <c r="R50" s="190"/>
      <c r="S50" s="245"/>
      <c r="T50" s="205"/>
      <c r="U50" s="122">
        <v>43</v>
      </c>
      <c r="V50" s="2">
        <f t="shared" si="1"/>
        <v>1</v>
      </c>
      <c r="W50" s="2">
        <f t="shared" si="2"/>
        <v>1</v>
      </c>
      <c r="X50" s="2">
        <f t="shared" si="3"/>
        <v>0</v>
      </c>
      <c r="Y50" s="2" t="str">
        <f t="shared" si="4"/>
        <v>4.1.3</v>
      </c>
      <c r="Z50" s="268"/>
      <c r="AA50" s="268"/>
      <c r="AB50" s="272"/>
      <c r="AC50" s="58">
        <v>43</v>
      </c>
      <c r="AD50" t="str">
        <f t="shared" si="15"/>
        <v xml:space="preserve">Alcaldia del Carmen de Viboral </v>
      </c>
      <c r="AE50" s="65">
        <f t="shared" si="16"/>
        <v>45449</v>
      </c>
      <c r="AF50" t="s">
        <v>25</v>
      </c>
      <c r="AG50" t="s">
        <v>32</v>
      </c>
      <c r="AH50" t="s">
        <v>33</v>
      </c>
      <c r="AI50" s="55" t="s">
        <v>95</v>
      </c>
      <c r="AJ50" t="str">
        <f t="shared" si="5"/>
        <v>No</v>
      </c>
      <c r="AK50" s="68">
        <f t="shared" si="6"/>
        <v>0</v>
      </c>
      <c r="AL50" t="str">
        <f t="shared" si="7"/>
        <v/>
      </c>
      <c r="AM50" t="str">
        <f t="shared" si="19"/>
        <v>4.1.3</v>
      </c>
      <c r="AN50" t="str">
        <f t="shared" si="8"/>
        <v>No cumple</v>
      </c>
      <c r="AO50" t="str">
        <f t="shared" si="17"/>
        <v>06/06/2024</v>
      </c>
      <c r="AP50" t="str">
        <f t="shared" si="9"/>
        <v/>
      </c>
      <c r="AQ50" t="str">
        <f t="shared" si="10"/>
        <v>Art 16/No apl</v>
      </c>
      <c r="AR50" s="82">
        <v>1</v>
      </c>
      <c r="AT50" s="65"/>
      <c r="BA50" s="5" t="s">
        <v>305</v>
      </c>
      <c r="BB50" s="5" t="str">
        <f t="shared" si="11"/>
        <v>X</v>
      </c>
      <c r="BC50" s="5" t="str">
        <f t="shared" si="12"/>
        <v/>
      </c>
      <c r="BD50" s="5" t="str">
        <f t="shared" si="13"/>
        <v/>
      </c>
      <c r="BF50" s="5"/>
      <c r="BG50" s="5" t="str">
        <f t="shared" si="14"/>
        <v/>
      </c>
    </row>
    <row r="51" spans="1:59" ht="50.15" customHeight="1" thickBot="1" x14ac:dyDescent="0.4">
      <c r="A51" s="5"/>
      <c r="B51" s="5"/>
      <c r="C51" s="5"/>
      <c r="D51" s="5"/>
      <c r="E51" s="5"/>
      <c r="F51" s="5"/>
      <c r="G51" t="s">
        <v>46</v>
      </c>
      <c r="I51" s="93">
        <v>44</v>
      </c>
      <c r="J51" s="264"/>
      <c r="K51" s="239"/>
      <c r="L51" s="240"/>
      <c r="M51" s="189" t="str">
        <f>"4.1.4 Realización mediciones ambientales químicos, físicos y biológicos"&amp;BG51</f>
        <v>4.1.4 Realización mediciones ambientales químicos, físicos y biológicos</v>
      </c>
      <c r="N51" s="190">
        <v>4</v>
      </c>
      <c r="O51" s="241"/>
      <c r="P51" s="190"/>
      <c r="Q51" s="190" t="s">
        <v>5</v>
      </c>
      <c r="R51" s="190"/>
      <c r="S51" s="245"/>
      <c r="T51" s="205"/>
      <c r="U51" s="120">
        <v>44</v>
      </c>
      <c r="V51" s="2">
        <f t="shared" si="1"/>
        <v>1</v>
      </c>
      <c r="W51" s="2">
        <f t="shared" si="2"/>
        <v>1</v>
      </c>
      <c r="X51" s="2">
        <f t="shared" si="3"/>
        <v>0</v>
      </c>
      <c r="Y51" s="2" t="str">
        <f t="shared" si="4"/>
        <v>4.1.4</v>
      </c>
      <c r="Z51" s="268"/>
      <c r="AA51" s="268"/>
      <c r="AB51" s="272"/>
      <c r="AC51" s="58">
        <v>44</v>
      </c>
      <c r="AD51" t="str">
        <f t="shared" si="15"/>
        <v xml:space="preserve">Alcaldia del Carmen de Viboral </v>
      </c>
      <c r="AE51" s="65">
        <f t="shared" si="16"/>
        <v>45449</v>
      </c>
      <c r="AF51" t="s">
        <v>25</v>
      </c>
      <c r="AG51" t="s">
        <v>32</v>
      </c>
      <c r="AH51" t="s">
        <v>33</v>
      </c>
      <c r="AI51" s="55" t="s">
        <v>114</v>
      </c>
      <c r="AJ51" t="str">
        <f t="shared" si="5"/>
        <v>No</v>
      </c>
      <c r="AK51" s="68">
        <f t="shared" si="6"/>
        <v>0</v>
      </c>
      <c r="AL51" t="str">
        <f t="shared" si="7"/>
        <v/>
      </c>
      <c r="AM51" t="str">
        <f t="shared" si="19"/>
        <v>4.1.4</v>
      </c>
      <c r="AN51" t="str">
        <f t="shared" si="8"/>
        <v>No cumple</v>
      </c>
      <c r="AO51" t="str">
        <f t="shared" si="17"/>
        <v>06/06/2024</v>
      </c>
      <c r="AP51" t="str">
        <f t="shared" si="9"/>
        <v/>
      </c>
      <c r="AQ51" t="str">
        <f t="shared" si="10"/>
        <v>Art 16/No apl</v>
      </c>
      <c r="AR51" s="82">
        <v>1</v>
      </c>
      <c r="AT51" s="65"/>
      <c r="BA51" s="5" t="s">
        <v>305</v>
      </c>
      <c r="BB51" s="5" t="str">
        <f t="shared" si="11"/>
        <v>X</v>
      </c>
      <c r="BC51" s="5" t="str">
        <f t="shared" si="12"/>
        <v/>
      </c>
      <c r="BD51" s="5" t="str">
        <f t="shared" si="13"/>
        <v/>
      </c>
      <c r="BF51" s="5"/>
      <c r="BG51" s="5" t="str">
        <f t="shared" si="14"/>
        <v/>
      </c>
    </row>
    <row r="52" spans="1:59" ht="50.15" customHeight="1" thickBot="1" x14ac:dyDescent="0.4">
      <c r="A52" s="5" t="s">
        <v>5</v>
      </c>
      <c r="B52" s="5">
        <f>$N52</f>
        <v>2.5</v>
      </c>
      <c r="C52" s="5" t="s">
        <v>5</v>
      </c>
      <c r="D52" s="5">
        <f>$N52</f>
        <v>2.5</v>
      </c>
      <c r="E52" s="5"/>
      <c r="F52" s="5"/>
      <c r="G52" t="s">
        <v>46</v>
      </c>
      <c r="I52" s="93">
        <v>45</v>
      </c>
      <c r="J52" s="264"/>
      <c r="K52" s="239"/>
      <c r="L52" s="260" t="s">
        <v>468</v>
      </c>
      <c r="M52" s="189" t="str">
        <f>"4.2.1 Implementación de medidas de prevención y control frente a peligros/riesgos identificados"&amp;BG52</f>
        <v>4.2.1 Implementación de medidas de prevención y control frente a peligros/riesgos identificados</v>
      </c>
      <c r="N52" s="190">
        <v>2.5</v>
      </c>
      <c r="O52" s="241">
        <v>15</v>
      </c>
      <c r="P52" s="190"/>
      <c r="Q52" s="190" t="s">
        <v>5</v>
      </c>
      <c r="R52" s="190"/>
      <c r="S52" s="245">
        <f>SUM(X52:X57)</f>
        <v>5</v>
      </c>
      <c r="T52" s="205"/>
      <c r="U52" s="122">
        <v>45</v>
      </c>
      <c r="V52" s="2">
        <f t="shared" si="1"/>
        <v>1</v>
      </c>
      <c r="W52" s="2">
        <f t="shared" si="2"/>
        <v>1</v>
      </c>
      <c r="X52" s="2">
        <f t="shared" si="3"/>
        <v>0</v>
      </c>
      <c r="Y52" s="2" t="str">
        <f t="shared" si="4"/>
        <v>4.2.1</v>
      </c>
      <c r="Z52" s="268">
        <f>S52/O52</f>
        <v>0.33333333333333331</v>
      </c>
      <c r="AA52" s="268"/>
      <c r="AB52" s="272"/>
      <c r="AC52" s="58">
        <v>45</v>
      </c>
      <c r="AD52" t="str">
        <f t="shared" si="15"/>
        <v xml:space="preserve">Alcaldia del Carmen de Viboral </v>
      </c>
      <c r="AE52" s="65">
        <f t="shared" si="16"/>
        <v>45449</v>
      </c>
      <c r="AF52" t="s">
        <v>25</v>
      </c>
      <c r="AG52" t="s">
        <v>32</v>
      </c>
      <c r="AH52" t="s">
        <v>34</v>
      </c>
      <c r="AI52" s="55" t="s">
        <v>115</v>
      </c>
      <c r="AJ52" t="str">
        <f t="shared" si="5"/>
        <v>No</v>
      </c>
      <c r="AK52" s="68">
        <f t="shared" si="6"/>
        <v>0</v>
      </c>
      <c r="AL52" t="str">
        <f t="shared" si="7"/>
        <v/>
      </c>
      <c r="AM52" t="str">
        <f t="shared" si="19"/>
        <v>4.2.1</v>
      </c>
      <c r="AN52" t="str">
        <f t="shared" si="8"/>
        <v>No cumple</v>
      </c>
      <c r="AO52" t="str">
        <f t="shared" si="17"/>
        <v>06/06/2024</v>
      </c>
      <c r="AP52" t="str">
        <f t="shared" si="9"/>
        <v/>
      </c>
      <c r="AQ52" t="str">
        <f t="shared" si="10"/>
        <v>Art 16/No apl</v>
      </c>
      <c r="AR52" s="82">
        <v>1</v>
      </c>
      <c r="AT52" s="65"/>
      <c r="BA52" s="5" t="s">
        <v>305</v>
      </c>
      <c r="BB52" s="5" t="str">
        <f t="shared" si="11"/>
        <v>X</v>
      </c>
      <c r="BC52" s="5" t="str">
        <f t="shared" si="12"/>
        <v/>
      </c>
      <c r="BD52" s="5" t="str">
        <f t="shared" si="13"/>
        <v/>
      </c>
      <c r="BF52" s="5"/>
      <c r="BG52" s="5" t="str">
        <f t="shared" si="14"/>
        <v/>
      </c>
    </row>
    <row r="53" spans="1:59" ht="50.15" customHeight="1" thickBot="1" x14ac:dyDescent="0.4">
      <c r="A53" s="5"/>
      <c r="B53" s="5"/>
      <c r="C53" s="5"/>
      <c r="D53" s="5"/>
      <c r="E53" s="5"/>
      <c r="F53" s="5"/>
      <c r="G53" t="s">
        <v>46</v>
      </c>
      <c r="I53" s="93">
        <v>46</v>
      </c>
      <c r="J53" s="264"/>
      <c r="K53" s="239"/>
      <c r="L53" s="240"/>
      <c r="M53" s="189" t="str">
        <f>"4.2.2 Verificación de aplicación de medidas de prevención y control por parte de los trabajadores"&amp;BG53</f>
        <v>4.2.2 Verificación de aplicación de medidas de prevención y control por parte de los trabajadores</v>
      </c>
      <c r="N53" s="190">
        <v>2.5</v>
      </c>
      <c r="O53" s="241"/>
      <c r="P53" s="190"/>
      <c r="Q53" s="190" t="s">
        <v>5</v>
      </c>
      <c r="R53" s="190"/>
      <c r="S53" s="245"/>
      <c r="T53" s="205"/>
      <c r="U53" s="120">
        <v>46</v>
      </c>
      <c r="V53" s="2">
        <f t="shared" si="1"/>
        <v>1</v>
      </c>
      <c r="W53" s="2">
        <f t="shared" si="2"/>
        <v>1</v>
      </c>
      <c r="X53" s="2">
        <f t="shared" si="3"/>
        <v>0</v>
      </c>
      <c r="Y53" s="2" t="str">
        <f t="shared" si="4"/>
        <v>4.2.2</v>
      </c>
      <c r="Z53" s="268"/>
      <c r="AA53" s="268"/>
      <c r="AB53" s="272"/>
      <c r="AC53" s="58">
        <v>46</v>
      </c>
      <c r="AD53" t="str">
        <f t="shared" si="15"/>
        <v xml:space="preserve">Alcaldia del Carmen de Viboral </v>
      </c>
      <c r="AE53" s="65">
        <f t="shared" si="16"/>
        <v>45449</v>
      </c>
      <c r="AF53" t="s">
        <v>25</v>
      </c>
      <c r="AG53" t="s">
        <v>32</v>
      </c>
      <c r="AH53" t="s">
        <v>34</v>
      </c>
      <c r="AI53" s="55" t="s">
        <v>96</v>
      </c>
      <c r="AJ53" t="str">
        <f t="shared" si="5"/>
        <v>No</v>
      </c>
      <c r="AK53" s="68">
        <f t="shared" si="6"/>
        <v>0</v>
      </c>
      <c r="AL53" t="str">
        <f t="shared" si="7"/>
        <v/>
      </c>
      <c r="AM53" t="str">
        <f t="shared" si="19"/>
        <v>4.2.2</v>
      </c>
      <c r="AN53" t="str">
        <f t="shared" si="8"/>
        <v>No cumple</v>
      </c>
      <c r="AO53" t="str">
        <f t="shared" si="17"/>
        <v>06/06/2024</v>
      </c>
      <c r="AP53" t="str">
        <f t="shared" si="9"/>
        <v/>
      </c>
      <c r="AQ53" t="str">
        <f t="shared" si="10"/>
        <v>Art 16/No apl</v>
      </c>
      <c r="AR53" s="82">
        <v>1</v>
      </c>
      <c r="AT53" s="65"/>
      <c r="BA53" s="5" t="s">
        <v>305</v>
      </c>
      <c r="BB53" s="5" t="str">
        <f t="shared" si="11"/>
        <v>X</v>
      </c>
      <c r="BC53" s="5" t="str">
        <f t="shared" si="12"/>
        <v/>
      </c>
      <c r="BD53" s="5" t="str">
        <f t="shared" si="13"/>
        <v/>
      </c>
      <c r="BF53" s="5"/>
      <c r="BG53" s="5" t="str">
        <f t="shared" si="14"/>
        <v/>
      </c>
    </row>
    <row r="54" spans="1:59" ht="50.15" customHeight="1" thickBot="1" x14ac:dyDescent="0.4">
      <c r="A54" s="5"/>
      <c r="B54" s="5"/>
      <c r="C54" s="5"/>
      <c r="D54" s="5"/>
      <c r="E54" s="5"/>
      <c r="F54" s="5"/>
      <c r="G54" t="s">
        <v>46</v>
      </c>
      <c r="I54" s="93">
        <v>47</v>
      </c>
      <c r="J54" s="264"/>
      <c r="K54" s="239"/>
      <c r="L54" s="240"/>
      <c r="M54" s="189" t="str">
        <f>"4.2.3 Elaboración de procedimientos, instructivos, fichas, protocolos"&amp;BG54</f>
        <v>4.2.3 Elaboración de procedimientos, instructivos, fichas, protocolos</v>
      </c>
      <c r="N54" s="190">
        <v>2.5</v>
      </c>
      <c r="O54" s="241"/>
      <c r="P54" s="190"/>
      <c r="Q54" s="190" t="s">
        <v>5</v>
      </c>
      <c r="R54" s="190"/>
      <c r="S54" s="245"/>
      <c r="T54" s="205"/>
      <c r="U54" s="122">
        <v>47</v>
      </c>
      <c r="V54" s="2">
        <f t="shared" si="1"/>
        <v>1</v>
      </c>
      <c r="W54" s="2">
        <f t="shared" si="2"/>
        <v>1</v>
      </c>
      <c r="X54" s="2">
        <f t="shared" si="3"/>
        <v>0</v>
      </c>
      <c r="Y54" s="2" t="str">
        <f t="shared" si="4"/>
        <v>4.2.3</v>
      </c>
      <c r="Z54" s="268"/>
      <c r="AA54" s="268"/>
      <c r="AB54" s="272"/>
      <c r="AC54" s="58">
        <v>47</v>
      </c>
      <c r="AD54" t="str">
        <f t="shared" si="15"/>
        <v xml:space="preserve">Alcaldia del Carmen de Viboral </v>
      </c>
      <c r="AE54" s="65">
        <f t="shared" si="16"/>
        <v>45449</v>
      </c>
      <c r="AF54" t="s">
        <v>25</v>
      </c>
      <c r="AG54" t="s">
        <v>32</v>
      </c>
      <c r="AH54" t="s">
        <v>34</v>
      </c>
      <c r="AI54" s="55" t="s">
        <v>97</v>
      </c>
      <c r="AJ54" t="str">
        <f t="shared" si="5"/>
        <v>No</v>
      </c>
      <c r="AK54" s="68">
        <f t="shared" si="6"/>
        <v>0</v>
      </c>
      <c r="AL54" t="str">
        <f t="shared" si="7"/>
        <v/>
      </c>
      <c r="AM54" t="str">
        <f t="shared" si="19"/>
        <v>4.2.3</v>
      </c>
      <c r="AN54" t="str">
        <f t="shared" si="8"/>
        <v>No cumple</v>
      </c>
      <c r="AO54" t="str">
        <f t="shared" si="17"/>
        <v>06/06/2024</v>
      </c>
      <c r="AP54" t="str">
        <f t="shared" si="9"/>
        <v/>
      </c>
      <c r="AQ54" t="str">
        <f t="shared" si="10"/>
        <v>Art 16/No apl</v>
      </c>
      <c r="AR54" s="82">
        <v>1</v>
      </c>
      <c r="AT54" s="65"/>
      <c r="BA54" s="5" t="s">
        <v>305</v>
      </c>
      <c r="BB54" s="5" t="str">
        <f t="shared" si="11"/>
        <v>X</v>
      </c>
      <c r="BC54" s="5" t="str">
        <f t="shared" si="12"/>
        <v/>
      </c>
      <c r="BD54" s="5" t="str">
        <f t="shared" si="13"/>
        <v/>
      </c>
      <c r="BF54" s="5"/>
      <c r="BG54" s="5" t="str">
        <f t="shared" si="14"/>
        <v/>
      </c>
    </row>
    <row r="55" spans="1:59" ht="50.15" customHeight="1" thickBot="1" x14ac:dyDescent="0.4">
      <c r="A55" s="5"/>
      <c r="B55" s="5"/>
      <c r="C55" s="5"/>
      <c r="D55" s="5"/>
      <c r="E55" s="5"/>
      <c r="F55" s="5"/>
      <c r="G55" t="s">
        <v>46</v>
      </c>
      <c r="I55" s="93">
        <v>48</v>
      </c>
      <c r="J55" s="264"/>
      <c r="K55" s="239"/>
      <c r="L55" s="240"/>
      <c r="M55" s="189" t="str">
        <f>"4.2.4 Realización de inspecciones a instalaciones, maquinaria o equipos con la participación del COPASST"&amp;BG55</f>
        <v>4.2.4 Realización de inspecciones a instalaciones, maquinaria o equipos con la participación del COPASST</v>
      </c>
      <c r="N55" s="190">
        <v>2.5</v>
      </c>
      <c r="O55" s="241"/>
      <c r="P55" s="190" t="s">
        <v>5</v>
      </c>
      <c r="Q55" s="190"/>
      <c r="R55" s="190"/>
      <c r="S55" s="245"/>
      <c r="T55" s="205" t="s">
        <v>681</v>
      </c>
      <c r="U55" s="120">
        <v>48</v>
      </c>
      <c r="V55" s="2">
        <f t="shared" si="1"/>
        <v>1</v>
      </c>
      <c r="W55" s="2">
        <f t="shared" si="2"/>
        <v>1</v>
      </c>
      <c r="X55" s="2">
        <f t="shared" si="3"/>
        <v>2.5</v>
      </c>
      <c r="Y55" s="2" t="str">
        <f t="shared" si="4"/>
        <v>4.2.4</v>
      </c>
      <c r="Z55" s="268"/>
      <c r="AA55" s="268"/>
      <c r="AB55" s="272"/>
      <c r="AC55" s="58">
        <v>48</v>
      </c>
      <c r="AD55" t="str">
        <f t="shared" si="15"/>
        <v xml:space="preserve">Alcaldia del Carmen de Viboral </v>
      </c>
      <c r="AE55" s="65">
        <f t="shared" si="16"/>
        <v>45449</v>
      </c>
      <c r="AF55" t="s">
        <v>25</v>
      </c>
      <c r="AG55" t="s">
        <v>32</v>
      </c>
      <c r="AH55" t="s">
        <v>34</v>
      </c>
      <c r="AI55" s="55" t="s">
        <v>116</v>
      </c>
      <c r="AJ55" t="str">
        <f t="shared" si="5"/>
        <v>Si</v>
      </c>
      <c r="AK55" s="68">
        <f t="shared" si="6"/>
        <v>2.5</v>
      </c>
      <c r="AL55" t="str">
        <f t="shared" si="7"/>
        <v xml:space="preserve">Revisar y/o actualizar formato. </v>
      </c>
      <c r="AM55" t="str">
        <f t="shared" si="19"/>
        <v>4.2.4</v>
      </c>
      <c r="AN55" t="str">
        <f t="shared" si="8"/>
        <v>Cumple</v>
      </c>
      <c r="AO55" t="str">
        <f t="shared" si="17"/>
        <v>06/06/2024</v>
      </c>
      <c r="AP55" t="str">
        <f t="shared" si="9"/>
        <v xml:space="preserve">Revisar y/o actualizar formato. </v>
      </c>
      <c r="AQ55" t="str">
        <f t="shared" si="10"/>
        <v>Art 16/No apl</v>
      </c>
      <c r="AR55" s="82">
        <v>1</v>
      </c>
      <c r="AT55" s="65"/>
      <c r="BA55" s="5" t="s">
        <v>305</v>
      </c>
      <c r="BB55" s="5" t="str">
        <f t="shared" si="11"/>
        <v>X</v>
      </c>
      <c r="BC55" s="5" t="str">
        <f t="shared" si="12"/>
        <v/>
      </c>
      <c r="BD55" s="5" t="str">
        <f t="shared" si="13"/>
        <v/>
      </c>
      <c r="BF55" s="5"/>
      <c r="BG55" s="5" t="str">
        <f t="shared" si="14"/>
        <v/>
      </c>
    </row>
    <row r="56" spans="1:59" ht="50.15" customHeight="1" thickBot="1" x14ac:dyDescent="0.4">
      <c r="A56" s="5"/>
      <c r="B56" s="5"/>
      <c r="C56" s="5"/>
      <c r="D56" s="5"/>
      <c r="E56" s="5" t="s">
        <v>5</v>
      </c>
      <c r="F56" s="5">
        <f>$N56</f>
        <v>2.5</v>
      </c>
      <c r="G56" t="s">
        <v>46</v>
      </c>
      <c r="I56" s="93">
        <v>49</v>
      </c>
      <c r="J56" s="264"/>
      <c r="K56" s="239"/>
      <c r="L56" s="240"/>
      <c r="M56" s="189" t="str">
        <f>"4.2.5 Mantenimiento periódico de instalaciones, equipos, máquinas, herramientas"&amp;BG56</f>
        <v>4.2.5 Mantenimiento periódico de instalaciones, equipos, máquinas, herramientas</v>
      </c>
      <c r="N56" s="190">
        <v>2.5</v>
      </c>
      <c r="O56" s="241"/>
      <c r="P56" s="190"/>
      <c r="Q56" s="190" t="s">
        <v>5</v>
      </c>
      <c r="R56" s="190"/>
      <c r="S56" s="245"/>
      <c r="T56" s="205"/>
      <c r="U56" s="122">
        <v>49</v>
      </c>
      <c r="V56" s="2">
        <f t="shared" si="1"/>
        <v>1</v>
      </c>
      <c r="W56" s="2">
        <f t="shared" si="2"/>
        <v>1</v>
      </c>
      <c r="X56" s="2">
        <f t="shared" si="3"/>
        <v>0</v>
      </c>
      <c r="Y56" s="2" t="str">
        <f t="shared" si="4"/>
        <v>4.2.5</v>
      </c>
      <c r="Z56" s="268"/>
      <c r="AA56" s="268"/>
      <c r="AB56" s="272"/>
      <c r="AC56" s="58">
        <v>49</v>
      </c>
      <c r="AD56" t="str">
        <f t="shared" si="15"/>
        <v xml:space="preserve">Alcaldia del Carmen de Viboral </v>
      </c>
      <c r="AE56" s="65">
        <f t="shared" si="16"/>
        <v>45449</v>
      </c>
      <c r="AF56" t="s">
        <v>25</v>
      </c>
      <c r="AG56" t="s">
        <v>32</v>
      </c>
      <c r="AH56" t="s">
        <v>34</v>
      </c>
      <c r="AI56" s="55" t="s">
        <v>98</v>
      </c>
      <c r="AJ56" t="str">
        <f t="shared" si="5"/>
        <v>No</v>
      </c>
      <c r="AK56" s="68">
        <f t="shared" si="6"/>
        <v>0</v>
      </c>
      <c r="AL56" t="str">
        <f t="shared" si="7"/>
        <v/>
      </c>
      <c r="AM56" t="str">
        <f t="shared" si="19"/>
        <v>4.2.5</v>
      </c>
      <c r="AN56" t="str">
        <f t="shared" si="8"/>
        <v>No cumple</v>
      </c>
      <c r="AO56" t="str">
        <f t="shared" si="17"/>
        <v>06/06/2024</v>
      </c>
      <c r="AP56" t="str">
        <f t="shared" si="9"/>
        <v/>
      </c>
      <c r="AQ56" t="str">
        <f t="shared" si="10"/>
        <v>Art 16/No apl</v>
      </c>
      <c r="AR56" s="82">
        <v>1</v>
      </c>
      <c r="AT56" s="65"/>
      <c r="BA56" s="5" t="s">
        <v>305</v>
      </c>
      <c r="BB56" s="5" t="str">
        <f t="shared" si="11"/>
        <v>X</v>
      </c>
      <c r="BC56" s="5" t="str">
        <f t="shared" si="12"/>
        <v/>
      </c>
      <c r="BD56" s="5" t="str">
        <f t="shared" si="13"/>
        <v/>
      </c>
      <c r="BF56" s="5"/>
      <c r="BG56" s="5" t="str">
        <f t="shared" si="14"/>
        <v/>
      </c>
    </row>
    <row r="57" spans="1:59" ht="50.15" customHeight="1" thickBot="1" x14ac:dyDescent="0.4">
      <c r="A57" s="5"/>
      <c r="B57" s="5"/>
      <c r="C57" s="5"/>
      <c r="D57" s="5"/>
      <c r="E57" s="5" t="s">
        <v>5</v>
      </c>
      <c r="F57" s="5">
        <f>$N57</f>
        <v>2.5</v>
      </c>
      <c r="G57" t="s">
        <v>46</v>
      </c>
      <c r="I57" s="93">
        <v>50</v>
      </c>
      <c r="J57" s="264"/>
      <c r="K57" s="239"/>
      <c r="L57" s="240"/>
      <c r="M57" s="189" t="str">
        <f>"4.2.6 Entrega de Elementos de Protección Personal - EPP, se verifica con contratistas y subcontratistas"&amp;BG57</f>
        <v>4.2.6 Entrega de Elementos de Protección Personal - EPP, se verifica con contratistas y subcontratistas</v>
      </c>
      <c r="N57" s="190">
        <v>2.5</v>
      </c>
      <c r="O57" s="241"/>
      <c r="P57" s="190" t="s">
        <v>5</v>
      </c>
      <c r="Q57" s="190"/>
      <c r="R57" s="190"/>
      <c r="S57" s="245"/>
      <c r="T57" s="205"/>
      <c r="U57" s="120">
        <v>50</v>
      </c>
      <c r="V57" s="2">
        <f t="shared" si="1"/>
        <v>1</v>
      </c>
      <c r="W57" s="2">
        <f t="shared" si="2"/>
        <v>1</v>
      </c>
      <c r="X57" s="2">
        <f t="shared" si="3"/>
        <v>2.5</v>
      </c>
      <c r="Y57" s="2" t="str">
        <f t="shared" si="4"/>
        <v>4.2.6</v>
      </c>
      <c r="Z57" s="268"/>
      <c r="AA57" s="268"/>
      <c r="AB57" s="272"/>
      <c r="AC57" s="58">
        <v>50</v>
      </c>
      <c r="AD57" t="str">
        <f t="shared" si="15"/>
        <v xml:space="preserve">Alcaldia del Carmen de Viboral </v>
      </c>
      <c r="AE57" s="65">
        <f t="shared" si="16"/>
        <v>45449</v>
      </c>
      <c r="AF57" t="s">
        <v>25</v>
      </c>
      <c r="AG57" t="s">
        <v>32</v>
      </c>
      <c r="AH57" t="s">
        <v>34</v>
      </c>
      <c r="AI57" s="55" t="s">
        <v>117</v>
      </c>
      <c r="AJ57" t="str">
        <f t="shared" si="5"/>
        <v>Si</v>
      </c>
      <c r="AK57" s="68">
        <f t="shared" si="6"/>
        <v>2.5</v>
      </c>
      <c r="AL57" t="str">
        <f t="shared" si="7"/>
        <v/>
      </c>
      <c r="AM57" t="str">
        <f t="shared" si="19"/>
        <v>4.2.6</v>
      </c>
      <c r="AN57" t="str">
        <f t="shared" si="8"/>
        <v>Cumple</v>
      </c>
      <c r="AO57" t="str">
        <f t="shared" si="17"/>
        <v>06/06/2024</v>
      </c>
      <c r="AP57" t="str">
        <f t="shared" si="9"/>
        <v/>
      </c>
      <c r="AQ57" t="str">
        <f t="shared" si="10"/>
        <v>Art 16/No apl</v>
      </c>
      <c r="AR57" s="82">
        <v>1</v>
      </c>
      <c r="AT57" s="65"/>
      <c r="BA57" s="5" t="s">
        <v>305</v>
      </c>
      <c r="BB57" s="5" t="str">
        <f t="shared" si="11"/>
        <v>X</v>
      </c>
      <c r="BC57" s="5" t="str">
        <f t="shared" si="12"/>
        <v/>
      </c>
      <c r="BD57" s="5" t="str">
        <f t="shared" si="13"/>
        <v/>
      </c>
      <c r="BF57" s="5"/>
      <c r="BG57" s="5" t="str">
        <f t="shared" si="14"/>
        <v/>
      </c>
    </row>
    <row r="58" spans="1:59" ht="50.15" customHeight="1" thickBot="1" x14ac:dyDescent="0.4">
      <c r="A58" s="5"/>
      <c r="B58" s="5"/>
      <c r="C58" s="5"/>
      <c r="D58" s="5"/>
      <c r="E58" s="5" t="s">
        <v>5</v>
      </c>
      <c r="F58" s="5">
        <f>$N58</f>
        <v>5</v>
      </c>
      <c r="G58" t="s">
        <v>46</v>
      </c>
      <c r="I58" s="93">
        <v>51</v>
      </c>
      <c r="J58" s="264"/>
      <c r="K58" s="238" t="s">
        <v>483</v>
      </c>
      <c r="L58" s="291" t="s">
        <v>189</v>
      </c>
      <c r="M58" s="193" t="str">
        <f>"5.1.1 Se cuenta con el Plan de Preparación, Prevención y Respuesta ante emergencias"&amp;BG58</f>
        <v>5.1.1 Se cuenta con el Plan de Preparación, Prevención y Respuesta ante emergencias</v>
      </c>
      <c r="N58" s="194">
        <v>5</v>
      </c>
      <c r="O58" s="265">
        <v>10</v>
      </c>
      <c r="P58" s="190"/>
      <c r="Q58" s="194" t="s">
        <v>5</v>
      </c>
      <c r="R58" s="194"/>
      <c r="S58" s="266">
        <f>SUM(X58:X59)</f>
        <v>5</v>
      </c>
      <c r="T58" s="205"/>
      <c r="U58" s="122">
        <v>51</v>
      </c>
      <c r="V58" s="2">
        <f t="shared" si="1"/>
        <v>1</v>
      </c>
      <c r="W58" s="2">
        <f t="shared" si="2"/>
        <v>1</v>
      </c>
      <c r="X58" s="2">
        <f t="shared" si="3"/>
        <v>0</v>
      </c>
      <c r="Y58" s="2" t="str">
        <f t="shared" si="4"/>
        <v>5.1.1</v>
      </c>
      <c r="Z58" s="268">
        <f>S58/O58</f>
        <v>0.5</v>
      </c>
      <c r="AA58" s="268">
        <f>S58/O58</f>
        <v>0.5</v>
      </c>
      <c r="AB58" s="272"/>
      <c r="AC58" s="58">
        <v>51</v>
      </c>
      <c r="AD58" t="str">
        <f t="shared" si="15"/>
        <v xml:space="preserve">Alcaldia del Carmen de Viboral </v>
      </c>
      <c r="AE58" s="65">
        <f t="shared" si="16"/>
        <v>45449</v>
      </c>
      <c r="AF58" t="s">
        <v>25</v>
      </c>
      <c r="AG58" t="s">
        <v>35</v>
      </c>
      <c r="AH58" t="s">
        <v>36</v>
      </c>
      <c r="AI58" s="55" t="s">
        <v>118</v>
      </c>
      <c r="AJ58" t="str">
        <f t="shared" si="5"/>
        <v>No</v>
      </c>
      <c r="AK58" s="68">
        <f t="shared" si="6"/>
        <v>0</v>
      </c>
      <c r="AL58" t="str">
        <f t="shared" si="7"/>
        <v/>
      </c>
      <c r="AM58" t="str">
        <f t="shared" si="19"/>
        <v>5.1.1</v>
      </c>
      <c r="AN58" t="str">
        <f t="shared" si="8"/>
        <v>No cumple</v>
      </c>
      <c r="AO58" t="str">
        <f t="shared" si="17"/>
        <v>06/06/2024</v>
      </c>
      <c r="AP58" t="str">
        <f t="shared" si="9"/>
        <v/>
      </c>
      <c r="AQ58" t="str">
        <f t="shared" si="10"/>
        <v>Art 16/No apl</v>
      </c>
      <c r="AR58" s="82">
        <v>1</v>
      </c>
      <c r="AT58" s="65"/>
      <c r="BA58" s="5" t="s">
        <v>305</v>
      </c>
      <c r="BB58" s="5" t="str">
        <f t="shared" si="11"/>
        <v>X</v>
      </c>
      <c r="BC58" s="5" t="str">
        <f t="shared" si="12"/>
        <v/>
      </c>
      <c r="BD58" s="5" t="str">
        <f t="shared" si="13"/>
        <v/>
      </c>
      <c r="BF58" s="5"/>
      <c r="BG58" s="5" t="str">
        <f t="shared" si="14"/>
        <v/>
      </c>
    </row>
    <row r="59" spans="1:59" ht="50.15" customHeight="1" thickBot="1" x14ac:dyDescent="0.4">
      <c r="A59" s="5"/>
      <c r="B59" s="5"/>
      <c r="C59" s="5"/>
      <c r="D59" s="5"/>
      <c r="E59" s="5" t="s">
        <v>5</v>
      </c>
      <c r="F59" s="5">
        <f>$N59</f>
        <v>5</v>
      </c>
      <c r="G59" t="s">
        <v>46</v>
      </c>
      <c r="I59" s="93">
        <v>52</v>
      </c>
      <c r="J59" s="264"/>
      <c r="K59" s="238"/>
      <c r="L59" s="291"/>
      <c r="M59" s="193" t="str">
        <f>"5.1.2 Brigada de prevención conformada, capacitada y dotada"&amp;BG59</f>
        <v>5.1.2 Brigada de prevención conformada, capacitada y dotada</v>
      </c>
      <c r="N59" s="194">
        <v>5</v>
      </c>
      <c r="O59" s="265"/>
      <c r="P59" s="190" t="s">
        <v>5</v>
      </c>
      <c r="Q59" s="194"/>
      <c r="R59" s="194"/>
      <c r="S59" s="266"/>
      <c r="T59" s="205"/>
      <c r="U59" s="120">
        <v>52</v>
      </c>
      <c r="V59" s="2">
        <f t="shared" si="1"/>
        <v>1</v>
      </c>
      <c r="W59" s="2">
        <f t="shared" si="2"/>
        <v>1</v>
      </c>
      <c r="X59" s="2">
        <f t="shared" si="3"/>
        <v>5</v>
      </c>
      <c r="Y59" s="2" t="str">
        <f t="shared" si="4"/>
        <v>5.1.2</v>
      </c>
      <c r="Z59" s="268"/>
      <c r="AA59" s="268"/>
      <c r="AB59" s="272"/>
      <c r="AC59" s="58">
        <v>52</v>
      </c>
      <c r="AD59" t="str">
        <f t="shared" si="15"/>
        <v xml:space="preserve">Alcaldia del Carmen de Viboral </v>
      </c>
      <c r="AE59" s="65">
        <f t="shared" si="16"/>
        <v>45449</v>
      </c>
      <c r="AF59" t="s">
        <v>25</v>
      </c>
      <c r="AG59" t="s">
        <v>35</v>
      </c>
      <c r="AH59" t="s">
        <v>36</v>
      </c>
      <c r="AI59" s="55" t="s">
        <v>99</v>
      </c>
      <c r="AJ59" t="str">
        <f t="shared" si="5"/>
        <v>Si</v>
      </c>
      <c r="AK59" s="68">
        <f t="shared" si="6"/>
        <v>5</v>
      </c>
      <c r="AL59" t="str">
        <f t="shared" si="7"/>
        <v/>
      </c>
      <c r="AM59" t="str">
        <f t="shared" si="19"/>
        <v>5.1.2</v>
      </c>
      <c r="AN59" t="str">
        <f t="shared" si="8"/>
        <v>Cumple</v>
      </c>
      <c r="AO59" t="str">
        <f t="shared" si="17"/>
        <v>06/06/2024</v>
      </c>
      <c r="AP59" t="str">
        <f t="shared" si="9"/>
        <v/>
      </c>
      <c r="AQ59" t="str">
        <f t="shared" si="10"/>
        <v>Art 16/No apl</v>
      </c>
      <c r="AR59" s="82">
        <v>1</v>
      </c>
      <c r="AT59" s="65"/>
      <c r="BA59" s="5" t="s">
        <v>305</v>
      </c>
      <c r="BB59" s="5" t="str">
        <f t="shared" si="11"/>
        <v>X</v>
      </c>
      <c r="BC59" s="5" t="str">
        <f t="shared" si="12"/>
        <v/>
      </c>
      <c r="BD59" s="5" t="str">
        <f t="shared" si="13"/>
        <v/>
      </c>
      <c r="BF59" s="5"/>
      <c r="BG59" s="5" t="str">
        <f t="shared" si="14"/>
        <v/>
      </c>
    </row>
    <row r="60" spans="1:59" ht="50.15" customHeight="1" thickBot="1" x14ac:dyDescent="0.4">
      <c r="A60" s="5"/>
      <c r="B60" s="5"/>
      <c r="C60" s="5"/>
      <c r="D60" s="5"/>
      <c r="E60" s="5"/>
      <c r="F60" s="5"/>
      <c r="G60" t="s">
        <v>46</v>
      </c>
      <c r="I60" s="93">
        <v>53</v>
      </c>
      <c r="J60" s="238" t="s">
        <v>37</v>
      </c>
      <c r="K60" s="248" t="s">
        <v>484</v>
      </c>
      <c r="L60" s="256" t="s">
        <v>469</v>
      </c>
      <c r="M60" s="191" t="str">
        <f>"6.1.1 Definición de indicadores del SG-SST de acuerdo condiciones de la empresa"&amp;BG60</f>
        <v>6.1.1 Definición de indicadores del SG-SST de acuerdo condiciones de la empresa</v>
      </c>
      <c r="N60" s="192">
        <v>1.25</v>
      </c>
      <c r="O60" s="246">
        <v>5</v>
      </c>
      <c r="P60" s="192"/>
      <c r="Q60" s="192" t="s">
        <v>5</v>
      </c>
      <c r="R60" s="192"/>
      <c r="S60" s="247">
        <f>SUM(X60:X63)</f>
        <v>0</v>
      </c>
      <c r="T60" s="205"/>
      <c r="U60" s="122">
        <v>53</v>
      </c>
      <c r="V60" s="2">
        <f t="shared" si="1"/>
        <v>1</v>
      </c>
      <c r="W60" s="2">
        <f t="shared" si="2"/>
        <v>1</v>
      </c>
      <c r="X60" s="2">
        <f t="shared" si="3"/>
        <v>0</v>
      </c>
      <c r="Y60" s="2" t="str">
        <f t="shared" si="4"/>
        <v>6.1.1</v>
      </c>
      <c r="Z60" s="268">
        <f>S60/O60</f>
        <v>0</v>
      </c>
      <c r="AA60" s="268">
        <f>S60/O60</f>
        <v>0</v>
      </c>
      <c r="AB60" s="267">
        <f>S60/O60</f>
        <v>0</v>
      </c>
      <c r="AC60" s="58">
        <v>53</v>
      </c>
      <c r="AD60" t="str">
        <f t="shared" si="15"/>
        <v xml:space="preserve">Alcaldia del Carmen de Viboral </v>
      </c>
      <c r="AE60" s="65">
        <f t="shared" si="16"/>
        <v>45449</v>
      </c>
      <c r="AF60" t="s">
        <v>38</v>
      </c>
      <c r="AG60" t="s">
        <v>39</v>
      </c>
      <c r="AH60" t="s">
        <v>40</v>
      </c>
      <c r="AI60" s="55" t="s">
        <v>119</v>
      </c>
      <c r="AJ60" t="str">
        <f t="shared" si="5"/>
        <v>No</v>
      </c>
      <c r="AK60" s="68">
        <f t="shared" si="6"/>
        <v>0</v>
      </c>
      <c r="AL60" t="str">
        <f t="shared" si="7"/>
        <v/>
      </c>
      <c r="AM60" t="str">
        <f t="shared" si="19"/>
        <v>6.1.1</v>
      </c>
      <c r="AN60" t="str">
        <f t="shared" si="8"/>
        <v>No cumple</v>
      </c>
      <c r="AO60" t="str">
        <f t="shared" si="17"/>
        <v>06/06/2024</v>
      </c>
      <c r="AP60" t="str">
        <f t="shared" si="9"/>
        <v/>
      </c>
      <c r="AQ60" t="str">
        <f t="shared" si="10"/>
        <v>Art 16/No apl</v>
      </c>
      <c r="AR60" s="82">
        <v>1</v>
      </c>
      <c r="AT60" s="65"/>
      <c r="BA60" s="5" t="s">
        <v>305</v>
      </c>
      <c r="BB60" s="5" t="str">
        <f t="shared" si="11"/>
        <v>X</v>
      </c>
      <c r="BC60" s="5" t="str">
        <f t="shared" si="12"/>
        <v/>
      </c>
      <c r="BD60" s="5" t="str">
        <f t="shared" si="13"/>
        <v/>
      </c>
      <c r="BF60" s="5"/>
      <c r="BG60" s="5" t="str">
        <f t="shared" si="14"/>
        <v/>
      </c>
    </row>
    <row r="61" spans="1:59" ht="50.15" customHeight="1" thickBot="1" x14ac:dyDescent="0.4">
      <c r="A61" s="5"/>
      <c r="B61" s="5"/>
      <c r="C61" s="5"/>
      <c r="D61" s="5"/>
      <c r="E61" s="5"/>
      <c r="F61" s="5"/>
      <c r="G61" t="s">
        <v>46</v>
      </c>
      <c r="I61" s="93">
        <v>54</v>
      </c>
      <c r="J61" s="238"/>
      <c r="K61" s="248"/>
      <c r="L61" s="256"/>
      <c r="M61" s="191" t="str">
        <f>"6.1.2 Las empresa adelanta auditoría por lo menos una vez al año"&amp;BG61</f>
        <v>6.1.2 Las empresa adelanta auditoría por lo menos una vez al año</v>
      </c>
      <c r="N61" s="192">
        <v>1.25</v>
      </c>
      <c r="O61" s="246"/>
      <c r="P61" s="192"/>
      <c r="Q61" s="192" t="s">
        <v>5</v>
      </c>
      <c r="R61" s="192"/>
      <c r="S61" s="247"/>
      <c r="T61" s="205"/>
      <c r="U61" s="120">
        <v>54</v>
      </c>
      <c r="V61" s="2">
        <f t="shared" si="1"/>
        <v>1</v>
      </c>
      <c r="W61" s="2">
        <f t="shared" si="2"/>
        <v>1</v>
      </c>
      <c r="X61" s="2">
        <f t="shared" si="3"/>
        <v>0</v>
      </c>
      <c r="Y61" s="2" t="str">
        <f t="shared" si="4"/>
        <v>6.1.2</v>
      </c>
      <c r="Z61" s="268"/>
      <c r="AA61" s="268"/>
      <c r="AB61" s="267"/>
      <c r="AC61" s="58">
        <v>54</v>
      </c>
      <c r="AD61" t="str">
        <f t="shared" si="15"/>
        <v xml:space="preserve">Alcaldia del Carmen de Viboral </v>
      </c>
      <c r="AE61" s="65">
        <f t="shared" si="16"/>
        <v>45449</v>
      </c>
      <c r="AF61" t="s">
        <v>38</v>
      </c>
      <c r="AG61" t="s">
        <v>39</v>
      </c>
      <c r="AH61" t="s">
        <v>40</v>
      </c>
      <c r="AI61" s="55" t="s">
        <v>100</v>
      </c>
      <c r="AJ61" t="str">
        <f t="shared" si="5"/>
        <v>No</v>
      </c>
      <c r="AK61" s="68">
        <f t="shared" si="6"/>
        <v>0</v>
      </c>
      <c r="AL61" t="str">
        <f t="shared" si="7"/>
        <v/>
      </c>
      <c r="AM61" t="str">
        <f t="shared" si="19"/>
        <v>6.1.2</v>
      </c>
      <c r="AN61" t="str">
        <f t="shared" si="8"/>
        <v>No cumple</v>
      </c>
      <c r="AO61" t="str">
        <f t="shared" si="17"/>
        <v>06/06/2024</v>
      </c>
      <c r="AP61" t="str">
        <f t="shared" si="9"/>
        <v/>
      </c>
      <c r="AQ61" t="str">
        <f t="shared" si="10"/>
        <v>Art 16/No apl</v>
      </c>
      <c r="AR61" s="82">
        <v>1</v>
      </c>
      <c r="AT61" s="65"/>
      <c r="BA61" s="5" t="s">
        <v>305</v>
      </c>
      <c r="BB61" s="5" t="str">
        <f t="shared" si="11"/>
        <v>X</v>
      </c>
      <c r="BC61" s="5" t="str">
        <f t="shared" si="12"/>
        <v/>
      </c>
      <c r="BD61" s="5" t="str">
        <f t="shared" si="13"/>
        <v/>
      </c>
      <c r="BF61" s="5"/>
      <c r="BG61" s="5" t="str">
        <f t="shared" si="14"/>
        <v/>
      </c>
    </row>
    <row r="62" spans="1:59" ht="50.15" customHeight="1" thickBot="1" x14ac:dyDescent="0.4">
      <c r="A62" s="5"/>
      <c r="B62" s="5"/>
      <c r="C62" s="5"/>
      <c r="D62" s="5"/>
      <c r="E62" s="5" t="s">
        <v>5</v>
      </c>
      <c r="F62" s="5">
        <f>$N62</f>
        <v>1.25</v>
      </c>
      <c r="G62" t="s">
        <v>46</v>
      </c>
      <c r="I62" s="93">
        <v>55</v>
      </c>
      <c r="J62" s="238"/>
      <c r="K62" s="248"/>
      <c r="L62" s="256"/>
      <c r="M62" s="191" t="str">
        <f>"6.1.3 Revisión anual por la alta dirección resultados de la auditoría"&amp;BG62</f>
        <v>6.1.3 Revisión anual por la alta dirección resultados de la auditoría</v>
      </c>
      <c r="N62" s="192">
        <v>1.25</v>
      </c>
      <c r="O62" s="246"/>
      <c r="P62" s="190"/>
      <c r="Q62" s="192" t="s">
        <v>5</v>
      </c>
      <c r="R62" s="192"/>
      <c r="S62" s="247"/>
      <c r="T62" s="205"/>
      <c r="U62" s="122">
        <v>55</v>
      </c>
      <c r="V62" s="2">
        <f t="shared" si="1"/>
        <v>1</v>
      </c>
      <c r="W62" s="2">
        <f t="shared" si="2"/>
        <v>1</v>
      </c>
      <c r="X62" s="2">
        <f t="shared" si="3"/>
        <v>0</v>
      </c>
      <c r="Y62" s="2" t="str">
        <f t="shared" si="4"/>
        <v>6.1.3</v>
      </c>
      <c r="Z62" s="268"/>
      <c r="AA62" s="268"/>
      <c r="AB62" s="267"/>
      <c r="AC62" s="58">
        <v>55</v>
      </c>
      <c r="AD62" t="str">
        <f t="shared" si="15"/>
        <v xml:space="preserve">Alcaldia del Carmen de Viboral </v>
      </c>
      <c r="AE62" s="65">
        <f t="shared" si="16"/>
        <v>45449</v>
      </c>
      <c r="AF62" t="s">
        <v>38</v>
      </c>
      <c r="AG62" t="s">
        <v>39</v>
      </c>
      <c r="AH62" t="s">
        <v>40</v>
      </c>
      <c r="AI62" s="55" t="s">
        <v>120</v>
      </c>
      <c r="AJ62" t="str">
        <f t="shared" si="5"/>
        <v>No</v>
      </c>
      <c r="AK62" s="68">
        <f t="shared" si="6"/>
        <v>0</v>
      </c>
      <c r="AL62" t="str">
        <f t="shared" si="7"/>
        <v/>
      </c>
      <c r="AM62" t="str">
        <f t="shared" si="19"/>
        <v>6.1.3</v>
      </c>
      <c r="AN62" t="str">
        <f t="shared" si="8"/>
        <v>No cumple</v>
      </c>
      <c r="AO62" t="str">
        <f t="shared" si="17"/>
        <v>06/06/2024</v>
      </c>
      <c r="AP62" t="str">
        <f t="shared" si="9"/>
        <v/>
      </c>
      <c r="AQ62" t="str">
        <f t="shared" si="10"/>
        <v>Art 16/No apl</v>
      </c>
      <c r="AR62" s="82">
        <v>1</v>
      </c>
      <c r="AT62" s="65"/>
      <c r="BA62" s="5" t="s">
        <v>305</v>
      </c>
      <c r="BB62" s="5" t="str">
        <f t="shared" si="11"/>
        <v>X</v>
      </c>
      <c r="BC62" s="5" t="str">
        <f t="shared" si="12"/>
        <v/>
      </c>
      <c r="BD62" s="5" t="str">
        <f t="shared" si="13"/>
        <v/>
      </c>
      <c r="BF62" s="5"/>
      <c r="BG62" s="5" t="str">
        <f t="shared" si="14"/>
        <v/>
      </c>
    </row>
    <row r="63" spans="1:59" ht="50.15" customHeight="1" thickBot="1" x14ac:dyDescent="0.4">
      <c r="A63" s="5"/>
      <c r="B63" s="5"/>
      <c r="C63" s="5"/>
      <c r="D63" s="5"/>
      <c r="E63" s="5"/>
      <c r="F63" s="5"/>
      <c r="G63" t="s">
        <v>46</v>
      </c>
      <c r="I63" s="93">
        <v>56</v>
      </c>
      <c r="J63" s="238"/>
      <c r="K63" s="248"/>
      <c r="L63" s="256"/>
      <c r="M63" s="191" t="str">
        <f>"6.1.4 Planificación auditorías con el COPASST"&amp;BG63</f>
        <v>6.1.4 Planificación auditorías con el COPASST</v>
      </c>
      <c r="N63" s="192">
        <v>1.25</v>
      </c>
      <c r="O63" s="246"/>
      <c r="P63" s="192"/>
      <c r="Q63" s="192" t="s">
        <v>5</v>
      </c>
      <c r="R63" s="192"/>
      <c r="S63" s="247"/>
      <c r="T63" s="205"/>
      <c r="U63" s="120">
        <v>56</v>
      </c>
      <c r="V63" s="2">
        <f t="shared" si="1"/>
        <v>1</v>
      </c>
      <c r="W63" s="2">
        <f t="shared" si="2"/>
        <v>1</v>
      </c>
      <c r="X63" s="2">
        <f t="shared" si="3"/>
        <v>0</v>
      </c>
      <c r="Y63" s="2" t="str">
        <f t="shared" si="4"/>
        <v>6.1.4</v>
      </c>
      <c r="Z63" s="268"/>
      <c r="AA63" s="268"/>
      <c r="AB63" s="267"/>
      <c r="AC63" s="58">
        <v>56</v>
      </c>
      <c r="AD63" t="str">
        <f t="shared" si="15"/>
        <v xml:space="preserve">Alcaldia del Carmen de Viboral </v>
      </c>
      <c r="AE63" s="65">
        <f t="shared" si="16"/>
        <v>45449</v>
      </c>
      <c r="AF63" t="s">
        <v>38</v>
      </c>
      <c r="AG63" t="s">
        <v>39</v>
      </c>
      <c r="AH63" t="s">
        <v>40</v>
      </c>
      <c r="AI63" s="55" t="s">
        <v>121</v>
      </c>
      <c r="AJ63" t="str">
        <f t="shared" si="5"/>
        <v>No</v>
      </c>
      <c r="AK63" s="68">
        <f t="shared" si="6"/>
        <v>0</v>
      </c>
      <c r="AL63" t="str">
        <f t="shared" si="7"/>
        <v/>
      </c>
      <c r="AM63" t="s">
        <v>487</v>
      </c>
      <c r="AN63" t="str">
        <f t="shared" si="8"/>
        <v>No cumple</v>
      </c>
      <c r="AO63" t="str">
        <f t="shared" si="17"/>
        <v>06/06/2024</v>
      </c>
      <c r="AP63" t="str">
        <f t="shared" si="9"/>
        <v/>
      </c>
      <c r="AQ63" t="str">
        <f t="shared" si="10"/>
        <v>Art 16/No apl</v>
      </c>
      <c r="AR63" s="82">
        <v>1</v>
      </c>
      <c r="AT63" s="65"/>
      <c r="BA63" s="5" t="s">
        <v>305</v>
      </c>
      <c r="BB63" s="5" t="str">
        <f t="shared" si="11"/>
        <v>X</v>
      </c>
      <c r="BC63" s="5" t="str">
        <f t="shared" si="12"/>
        <v/>
      </c>
      <c r="BD63" s="5" t="str">
        <f t="shared" si="13"/>
        <v/>
      </c>
      <c r="BF63" s="5"/>
      <c r="BG63" s="5" t="str">
        <f t="shared" si="14"/>
        <v/>
      </c>
    </row>
    <row r="64" spans="1:59" ht="50.15" customHeight="1" thickBot="1" x14ac:dyDescent="0.4">
      <c r="A64" s="5"/>
      <c r="B64" s="5"/>
      <c r="C64" s="5"/>
      <c r="D64" s="5"/>
      <c r="E64" s="5"/>
      <c r="F64" s="5"/>
      <c r="G64" t="s">
        <v>46</v>
      </c>
      <c r="I64" s="93">
        <v>57</v>
      </c>
      <c r="J64" s="238" t="s">
        <v>41</v>
      </c>
      <c r="K64" s="239" t="s">
        <v>485</v>
      </c>
      <c r="L64" s="240" t="s">
        <v>470</v>
      </c>
      <c r="M64" s="189" t="str">
        <f>"7.1.1 Definición de acciones preventivas y correctivas con base en resultados del SG-SST"&amp;BG64</f>
        <v>7.1.1 Definición de acciones preventivas y correctivas con base en resultados del SG-SST</v>
      </c>
      <c r="N64" s="190">
        <v>2.5</v>
      </c>
      <c r="O64" s="241">
        <v>10</v>
      </c>
      <c r="P64" s="190"/>
      <c r="Q64" s="190" t="s">
        <v>5</v>
      </c>
      <c r="R64" s="190"/>
      <c r="S64" s="245">
        <f>SUM(X64:X67)</f>
        <v>0</v>
      </c>
      <c r="T64" s="205"/>
      <c r="U64" s="122">
        <v>57</v>
      </c>
      <c r="V64" s="2">
        <f t="shared" si="1"/>
        <v>1</v>
      </c>
      <c r="W64" s="2">
        <f t="shared" si="2"/>
        <v>1</v>
      </c>
      <c r="X64" s="2">
        <f t="shared" si="3"/>
        <v>0</v>
      </c>
      <c r="Y64" s="2" t="str">
        <f t="shared" si="4"/>
        <v>7.1.1</v>
      </c>
      <c r="Z64" s="268">
        <f>S64/O64</f>
        <v>0</v>
      </c>
      <c r="AA64" s="268">
        <f>S64/O64</f>
        <v>0</v>
      </c>
      <c r="AB64" s="267">
        <f>S64/O64</f>
        <v>0</v>
      </c>
      <c r="AC64" s="58">
        <v>57</v>
      </c>
      <c r="AD64" t="str">
        <f t="shared" si="15"/>
        <v xml:space="preserve">Alcaldia del Carmen de Viboral </v>
      </c>
      <c r="AE64" s="65">
        <f t="shared" si="16"/>
        <v>45449</v>
      </c>
      <c r="AF64" t="s">
        <v>43</v>
      </c>
      <c r="AG64" t="s">
        <v>44</v>
      </c>
      <c r="AH64" t="s">
        <v>42</v>
      </c>
      <c r="AI64" s="55" t="s">
        <v>122</v>
      </c>
      <c r="AJ64" t="str">
        <f t="shared" si="5"/>
        <v>No</v>
      </c>
      <c r="AK64" s="68">
        <f t="shared" si="6"/>
        <v>0</v>
      </c>
      <c r="AL64" t="str">
        <f t="shared" si="7"/>
        <v/>
      </c>
      <c r="AM64" t="s">
        <v>488</v>
      </c>
      <c r="AN64" t="str">
        <f t="shared" si="8"/>
        <v>No cumple</v>
      </c>
      <c r="AO64" t="str">
        <f t="shared" si="17"/>
        <v>06/06/2024</v>
      </c>
      <c r="AP64" t="str">
        <f t="shared" si="9"/>
        <v/>
      </c>
      <c r="AQ64" t="str">
        <f t="shared" si="10"/>
        <v>Art 16/No apl</v>
      </c>
      <c r="AR64" s="82">
        <v>1</v>
      </c>
      <c r="AT64" s="65"/>
      <c r="BA64" s="5" t="s">
        <v>305</v>
      </c>
      <c r="BB64" s="5" t="str">
        <f t="shared" si="11"/>
        <v>X</v>
      </c>
      <c r="BC64" s="5" t="str">
        <f t="shared" si="12"/>
        <v/>
      </c>
      <c r="BD64" s="5" t="str">
        <f t="shared" si="13"/>
        <v/>
      </c>
      <c r="BF64" s="5"/>
      <c r="BG64" s="5" t="str">
        <f t="shared" si="14"/>
        <v/>
      </c>
    </row>
    <row r="65" spans="1:59" ht="50.15" customHeight="1" thickBot="1" x14ac:dyDescent="0.4">
      <c r="A65" s="5"/>
      <c r="B65" s="5"/>
      <c r="C65" s="5"/>
      <c r="D65" s="5"/>
      <c r="E65" s="5"/>
      <c r="F65" s="5"/>
      <c r="G65" t="s">
        <v>46</v>
      </c>
      <c r="I65" s="93">
        <v>58</v>
      </c>
      <c r="J65" s="238"/>
      <c r="K65" s="239"/>
      <c r="L65" s="240"/>
      <c r="M65" s="189" t="str">
        <f>"7.1.2 Acciones de mejora conforme a revisión de la alta dirección"&amp;BG65</f>
        <v>7.1.2 Acciones de mejora conforme a revisión de la alta dirección</v>
      </c>
      <c r="N65" s="190">
        <v>2.5</v>
      </c>
      <c r="O65" s="241"/>
      <c r="P65" s="190"/>
      <c r="Q65" s="190" t="s">
        <v>5</v>
      </c>
      <c r="R65" s="190"/>
      <c r="S65" s="245"/>
      <c r="T65" s="205"/>
      <c r="U65" s="120">
        <v>58</v>
      </c>
      <c r="V65" s="2">
        <f t="shared" si="1"/>
        <v>1</v>
      </c>
      <c r="W65" s="2">
        <f t="shared" si="2"/>
        <v>1</v>
      </c>
      <c r="X65" s="2">
        <f t="shared" si="3"/>
        <v>0</v>
      </c>
      <c r="Y65" s="2" t="str">
        <f t="shared" si="4"/>
        <v>7.1.2</v>
      </c>
      <c r="Z65" s="268"/>
      <c r="AA65" s="268"/>
      <c r="AB65" s="267"/>
      <c r="AC65" s="58">
        <v>58</v>
      </c>
      <c r="AD65" t="str">
        <f t="shared" si="15"/>
        <v xml:space="preserve">Alcaldia del Carmen de Viboral </v>
      </c>
      <c r="AE65" s="65">
        <f t="shared" si="16"/>
        <v>45449</v>
      </c>
      <c r="AF65" t="s">
        <v>43</v>
      </c>
      <c r="AG65" t="s">
        <v>44</v>
      </c>
      <c r="AH65" t="s">
        <v>42</v>
      </c>
      <c r="AI65" s="55" t="s">
        <v>101</v>
      </c>
      <c r="AJ65" t="str">
        <f t="shared" si="5"/>
        <v>No</v>
      </c>
      <c r="AK65" s="68">
        <f t="shared" si="6"/>
        <v>0</v>
      </c>
      <c r="AL65" t="str">
        <f t="shared" si="7"/>
        <v/>
      </c>
      <c r="AM65" t="s">
        <v>489</v>
      </c>
      <c r="AN65" t="str">
        <f t="shared" si="8"/>
        <v>No cumple</v>
      </c>
      <c r="AO65" t="str">
        <f t="shared" si="17"/>
        <v>06/06/2024</v>
      </c>
      <c r="AP65" t="str">
        <f t="shared" si="9"/>
        <v/>
      </c>
      <c r="AQ65" t="str">
        <f t="shared" si="10"/>
        <v>Art 16/No apl</v>
      </c>
      <c r="AR65" s="82">
        <v>1</v>
      </c>
      <c r="AT65" s="65"/>
      <c r="BA65" s="5" t="s">
        <v>305</v>
      </c>
      <c r="BB65" s="5" t="str">
        <f t="shared" si="11"/>
        <v>X</v>
      </c>
      <c r="BC65" s="5" t="str">
        <f t="shared" si="12"/>
        <v/>
      </c>
      <c r="BD65" s="5" t="str">
        <f t="shared" si="13"/>
        <v/>
      </c>
      <c r="BF65" s="5"/>
      <c r="BG65" s="5" t="str">
        <f t="shared" si="14"/>
        <v/>
      </c>
    </row>
    <row r="66" spans="1:59" ht="50.15" customHeight="1" thickBot="1" x14ac:dyDescent="0.4">
      <c r="A66" s="5"/>
      <c r="B66" s="5"/>
      <c r="C66" s="5" t="s">
        <v>5</v>
      </c>
      <c r="D66" s="5">
        <f>$N66</f>
        <v>2.5</v>
      </c>
      <c r="E66" s="5"/>
      <c r="F66" s="5"/>
      <c r="G66" t="s">
        <v>46</v>
      </c>
      <c r="I66" s="93">
        <v>59</v>
      </c>
      <c r="J66" s="238"/>
      <c r="K66" s="239"/>
      <c r="L66" s="260"/>
      <c r="M66" s="189" t="str">
        <f>"7.1.3 Acciones de mejora con base en investigaciones de accidentes de trabajo y enfermedades laborales"&amp;BG66</f>
        <v>7.1.3 Acciones de mejora con base en investigaciones de accidentes de trabajo y enfermedades laborales</v>
      </c>
      <c r="N66" s="190">
        <v>2.5</v>
      </c>
      <c r="O66" s="241"/>
      <c r="P66" s="190"/>
      <c r="Q66" s="190" t="s">
        <v>5</v>
      </c>
      <c r="R66" s="190"/>
      <c r="S66" s="245"/>
      <c r="T66" s="205"/>
      <c r="U66" s="122">
        <v>59</v>
      </c>
      <c r="V66" s="2">
        <f t="shared" si="1"/>
        <v>1</v>
      </c>
      <c r="W66" s="2">
        <f t="shared" si="2"/>
        <v>1</v>
      </c>
      <c r="X66" s="2">
        <f t="shared" si="3"/>
        <v>0</v>
      </c>
      <c r="Y66" s="2" t="str">
        <f t="shared" si="4"/>
        <v>7.1.3</v>
      </c>
      <c r="Z66" s="268"/>
      <c r="AA66" s="268"/>
      <c r="AB66" s="267"/>
      <c r="AC66" s="58">
        <v>59</v>
      </c>
      <c r="AD66" t="str">
        <f t="shared" si="15"/>
        <v xml:space="preserve">Alcaldia del Carmen de Viboral </v>
      </c>
      <c r="AE66" s="65">
        <f t="shared" si="16"/>
        <v>45449</v>
      </c>
      <c r="AF66" t="s">
        <v>43</v>
      </c>
      <c r="AG66" t="s">
        <v>44</v>
      </c>
      <c r="AH66" t="s">
        <v>42</v>
      </c>
      <c r="AI66" s="55" t="s">
        <v>102</v>
      </c>
      <c r="AJ66" t="str">
        <f t="shared" si="5"/>
        <v>No</v>
      </c>
      <c r="AK66" s="68">
        <f t="shared" si="6"/>
        <v>0</v>
      </c>
      <c r="AL66" t="str">
        <f t="shared" si="7"/>
        <v/>
      </c>
      <c r="AM66" t="s">
        <v>490</v>
      </c>
      <c r="AN66" t="str">
        <f t="shared" si="8"/>
        <v>No cumple</v>
      </c>
      <c r="AO66" t="str">
        <f t="shared" si="17"/>
        <v>06/06/2024</v>
      </c>
      <c r="AP66" t="str">
        <f t="shared" si="9"/>
        <v/>
      </c>
      <c r="AQ66" t="str">
        <f t="shared" si="10"/>
        <v>Art 16/No apl</v>
      </c>
      <c r="AR66" s="82">
        <v>1</v>
      </c>
      <c r="AT66" s="65"/>
      <c r="BA66" s="5" t="s">
        <v>305</v>
      </c>
      <c r="BB66" s="5" t="str">
        <f t="shared" si="11"/>
        <v>X</v>
      </c>
      <c r="BC66" s="5" t="str">
        <f t="shared" si="12"/>
        <v/>
      </c>
      <c r="BD66" s="5" t="str">
        <f t="shared" si="13"/>
        <v/>
      </c>
      <c r="BF66" s="5"/>
      <c r="BG66" s="5" t="str">
        <f t="shared" si="14"/>
        <v/>
      </c>
    </row>
    <row r="67" spans="1:59" ht="50.15" customHeight="1" thickBot="1" x14ac:dyDescent="0.4">
      <c r="A67" s="5"/>
      <c r="B67" s="5"/>
      <c r="C67" s="5"/>
      <c r="D67" s="5"/>
      <c r="E67" s="5"/>
      <c r="F67" s="5"/>
      <c r="G67" t="s">
        <v>46</v>
      </c>
      <c r="I67" s="93">
        <v>60</v>
      </c>
      <c r="J67" s="238"/>
      <c r="K67" s="239"/>
      <c r="L67" s="240"/>
      <c r="M67" s="189" t="str">
        <f>"7.1.4 Elaboración Plan de Mejoramiento - implementación de medidas y acciones correctivas solicitadas por autoridades y ARL"&amp;BG67</f>
        <v>7.1.4 Elaboración Plan de Mejoramiento - implementación de medidas y acciones correctivas solicitadas por autoridades y ARL</v>
      </c>
      <c r="N67" s="190">
        <v>2.5</v>
      </c>
      <c r="O67" s="241"/>
      <c r="P67" s="190"/>
      <c r="Q67" s="190" t="s">
        <v>5</v>
      </c>
      <c r="R67" s="190"/>
      <c r="S67" s="245"/>
      <c r="T67" s="205"/>
      <c r="U67" s="120">
        <v>60</v>
      </c>
      <c r="V67" s="2">
        <f t="shared" si="1"/>
        <v>1</v>
      </c>
      <c r="W67" s="2">
        <f t="shared" si="2"/>
        <v>1</v>
      </c>
      <c r="X67" s="2">
        <f t="shared" si="3"/>
        <v>0</v>
      </c>
      <c r="Y67" s="2" t="str">
        <f t="shared" si="4"/>
        <v>7.1.4</v>
      </c>
      <c r="Z67" s="268"/>
      <c r="AA67" s="268"/>
      <c r="AB67" s="267"/>
      <c r="AC67" s="59">
        <v>60</v>
      </c>
      <c r="AD67" s="60" t="str">
        <f t="shared" si="15"/>
        <v xml:space="preserve">Alcaldia del Carmen de Viboral </v>
      </c>
      <c r="AE67" s="69">
        <f t="shared" si="16"/>
        <v>45449</v>
      </c>
      <c r="AF67" s="60" t="s">
        <v>43</v>
      </c>
      <c r="AG67" s="60" t="s">
        <v>44</v>
      </c>
      <c r="AH67" s="60" t="s">
        <v>42</v>
      </c>
      <c r="AI67" s="70" t="s">
        <v>123</v>
      </c>
      <c r="AJ67" t="str">
        <f t="shared" si="5"/>
        <v>No</v>
      </c>
      <c r="AK67" s="71">
        <f t="shared" si="6"/>
        <v>0</v>
      </c>
      <c r="AL67" t="str">
        <f t="shared" si="7"/>
        <v/>
      </c>
      <c r="AM67" t="s">
        <v>491</v>
      </c>
      <c r="AN67" t="str">
        <f t="shared" si="8"/>
        <v>No cumple</v>
      </c>
      <c r="AO67" t="str">
        <f t="shared" si="17"/>
        <v>06/06/2024</v>
      </c>
      <c r="AP67" t="str">
        <f t="shared" si="9"/>
        <v/>
      </c>
      <c r="AQ67" t="str">
        <f t="shared" si="10"/>
        <v>Art 16/No apl</v>
      </c>
      <c r="AR67" s="164">
        <v>1</v>
      </c>
      <c r="AT67" s="65"/>
      <c r="BA67" s="5" t="s">
        <v>305</v>
      </c>
      <c r="BB67" s="5" t="str">
        <f t="shared" si="11"/>
        <v>X</v>
      </c>
      <c r="BC67" s="5" t="str">
        <f t="shared" si="12"/>
        <v/>
      </c>
      <c r="BD67" s="5" t="str">
        <f t="shared" si="13"/>
        <v/>
      </c>
      <c r="BF67" s="5"/>
      <c r="BG67" s="5" t="str">
        <f t="shared" si="14"/>
        <v/>
      </c>
    </row>
    <row r="68" spans="1:59" ht="33.75" customHeight="1" thickBot="1" x14ac:dyDescent="0.55000000000000004">
      <c r="J68" s="290" t="s">
        <v>45</v>
      </c>
      <c r="K68" s="290"/>
      <c r="L68" s="290"/>
      <c r="M68" s="290"/>
      <c r="N68" s="290"/>
      <c r="O68" s="195">
        <v>100</v>
      </c>
      <c r="P68" s="196" t="s">
        <v>272</v>
      </c>
      <c r="Q68" s="196" t="s">
        <v>272</v>
      </c>
      <c r="R68" s="196" t="s">
        <v>272</v>
      </c>
      <c r="S68" s="197" t="str">
        <f>IF(V68&lt;60,"",SUM(S8:S67))</f>
        <v/>
      </c>
      <c r="T68" s="138"/>
      <c r="U68" s="122"/>
      <c r="V68" s="47">
        <f>COUNTIF(V8:V67,1)</f>
        <v>59</v>
      </c>
      <c r="W68" s="47">
        <f>MAX(V8:V62)</f>
        <v>1</v>
      </c>
      <c r="Z68"/>
      <c r="AA68"/>
      <c r="AB68"/>
      <c r="AD68" t="str">
        <f t="shared" si="15"/>
        <v xml:space="preserve">Alcaldia del Carmen de Viboral </v>
      </c>
      <c r="AM68" s="55"/>
    </row>
    <row r="69" spans="1:59" ht="27.75" customHeight="1" thickBot="1" x14ac:dyDescent="0.55000000000000004">
      <c r="J69" s="257" t="s">
        <v>103</v>
      </c>
      <c r="K69" s="257"/>
      <c r="L69" s="257"/>
      <c r="M69" s="257"/>
      <c r="N69" s="257"/>
      <c r="O69" s="257"/>
      <c r="P69" s="257"/>
      <c r="Q69" s="257"/>
      <c r="R69" s="257"/>
      <c r="S69" s="257"/>
      <c r="T69" s="138"/>
      <c r="V69" s="47">
        <f>IF(V68=60,1,0)</f>
        <v>0</v>
      </c>
      <c r="W69" s="47">
        <f>COUNTIF(V8:V67,"&gt;1")</f>
        <v>0</v>
      </c>
      <c r="Z69"/>
      <c r="AA69"/>
      <c r="AB69"/>
      <c r="AD69" t="str">
        <f t="shared" si="15"/>
        <v xml:space="preserve">Alcaldia del Carmen de Viboral </v>
      </c>
      <c r="AM69" s="55"/>
    </row>
    <row r="70" spans="1:59" ht="42" customHeight="1" thickBot="1" x14ac:dyDescent="0.55000000000000004">
      <c r="J70" s="257" t="s">
        <v>104</v>
      </c>
      <c r="K70" s="257"/>
      <c r="L70" s="257"/>
      <c r="M70" s="257"/>
      <c r="N70" s="257"/>
      <c r="O70" s="257"/>
      <c r="P70" s="257"/>
      <c r="Q70" s="257"/>
      <c r="R70" s="257"/>
      <c r="S70" s="257"/>
      <c r="T70" s="138"/>
      <c r="V70" s="47">
        <f>IF(S68&lt;60,1,IF(S68&lt;=85,2,3))</f>
        <v>3</v>
      </c>
      <c r="Z70"/>
      <c r="AA70"/>
      <c r="AB70"/>
      <c r="AD70" t="str">
        <f t="shared" si="15"/>
        <v xml:space="preserve">Alcaldia del Carmen de Viboral </v>
      </c>
      <c r="AM70" s="55"/>
    </row>
    <row r="71" spans="1:59" ht="57.75" customHeight="1" thickBot="1" x14ac:dyDescent="0.55000000000000004">
      <c r="J71" s="258" t="s">
        <v>105</v>
      </c>
      <c r="K71" s="258"/>
      <c r="L71" s="258"/>
      <c r="M71" s="258"/>
      <c r="N71" s="258"/>
      <c r="O71" s="258"/>
      <c r="P71" s="258"/>
      <c r="Q71" s="258"/>
      <c r="R71" s="258"/>
      <c r="S71" s="258"/>
      <c r="T71" s="138"/>
      <c r="V71" s="47">
        <f>V70*V69</f>
        <v>0</v>
      </c>
      <c r="Z71"/>
      <c r="AA71"/>
      <c r="AB71"/>
      <c r="AD71" t="str">
        <f t="shared" si="15"/>
        <v xml:space="preserve">Alcaldia del Carmen de Viboral </v>
      </c>
      <c r="AM71" s="55"/>
    </row>
    <row r="72" spans="1:59" ht="66" customHeight="1" x14ac:dyDescent="0.5">
      <c r="J72" s="259"/>
      <c r="K72" s="253"/>
      <c r="L72" s="253"/>
      <c r="M72" s="251"/>
      <c r="N72" s="253"/>
      <c r="O72" s="253"/>
      <c r="P72" s="253"/>
      <c r="Q72" s="253"/>
      <c r="R72" s="253"/>
      <c r="S72" s="254"/>
      <c r="T72" s="138"/>
      <c r="Z72"/>
      <c r="AA72"/>
      <c r="AB72"/>
    </row>
    <row r="73" spans="1:59" s="50" customFormat="1" ht="52.5" customHeight="1" thickBot="1" x14ac:dyDescent="0.55000000000000004">
      <c r="I73" s="94"/>
      <c r="J73" s="249" t="s">
        <v>124</v>
      </c>
      <c r="K73" s="250"/>
      <c r="L73" s="250"/>
      <c r="M73" s="252"/>
      <c r="N73" s="250" t="s">
        <v>106</v>
      </c>
      <c r="O73" s="250"/>
      <c r="P73" s="250"/>
      <c r="Q73" s="250"/>
      <c r="R73" s="250"/>
      <c r="S73" s="255"/>
      <c r="T73" s="171"/>
      <c r="U73" s="123"/>
      <c r="V73" s="48"/>
      <c r="W73" s="48"/>
      <c r="X73" s="48"/>
      <c r="Y73" s="48"/>
    </row>
    <row r="74" spans="1:59" ht="15" thickBot="1" x14ac:dyDescent="0.4"/>
    <row r="75" spans="1:59" ht="24.75" customHeight="1" thickBot="1" x14ac:dyDescent="0.45">
      <c r="M75" s="85"/>
      <c r="N75" s="86" t="s">
        <v>307</v>
      </c>
      <c r="O75" s="85">
        <f>COUNTA(P8:P67)</f>
        <v>26</v>
      </c>
      <c r="Q75" s="280" t="s">
        <v>308</v>
      </c>
      <c r="R75" s="281"/>
      <c r="S75" s="282"/>
    </row>
    <row r="76" spans="1:59" ht="24" customHeight="1" x14ac:dyDescent="0.4">
      <c r="M76" s="85"/>
      <c r="N76" s="86" t="s">
        <v>271</v>
      </c>
      <c r="O76" s="85">
        <f>COUNTA(Q8:Q67)</f>
        <v>32</v>
      </c>
      <c r="Q76" s="273" t="str">
        <f>IF(V68&lt;60,"",IF(S68&lt;60,"CRÍTICO",IF(S68&lt;=85,"MODERADAMENTE ACEPTABLE","ACEPTABLE")))</f>
        <v/>
      </c>
      <c r="R76" s="274"/>
      <c r="S76" s="275"/>
    </row>
    <row r="77" spans="1:59" ht="20.5" thickBot="1" x14ac:dyDescent="0.45">
      <c r="M77" s="85"/>
      <c r="N77" s="86" t="s">
        <v>466</v>
      </c>
      <c r="O77" s="85">
        <f>COUNTA(R8:R67)</f>
        <v>1</v>
      </c>
      <c r="Q77" s="276"/>
      <c r="R77" s="277"/>
      <c r="S77" s="278"/>
    </row>
    <row r="78" spans="1:59" ht="15.5" x14ac:dyDescent="0.35">
      <c r="Q78" s="90"/>
      <c r="R78" s="90"/>
      <c r="S78" s="91" t="str">
        <f>IF(Z81="","","FECHA LÍMITE PARA ENVIAR REPORTE DE AVANCES A LA COLMENA SEGUROS")</f>
        <v/>
      </c>
    </row>
    <row r="79" spans="1:59" ht="18" x14ac:dyDescent="0.4">
      <c r="Q79" s="279" t="str">
        <f>Z81</f>
        <v/>
      </c>
      <c r="R79" s="279"/>
      <c r="S79" s="279"/>
      <c r="Z79" s="87" t="str">
        <f>IF(Q76="CRÍTICO",S3+90,IF(Q76="MODERADAMENTE ACEPTABLE",S3+180,""))</f>
        <v/>
      </c>
    </row>
    <row r="80" spans="1:59" ht="15" thickBot="1" x14ac:dyDescent="0.4">
      <c r="Z80" s="88">
        <v>43831</v>
      </c>
    </row>
    <row r="81" spans="11:26" ht="23.5" x14ac:dyDescent="0.35">
      <c r="K81" s="6" t="s">
        <v>47</v>
      </c>
      <c r="L81" s="7"/>
      <c r="M81" s="7"/>
      <c r="N81" s="7"/>
      <c r="O81" s="7"/>
      <c r="P81" s="8"/>
      <c r="Q81" s="9"/>
      <c r="Z81" s="89" t="str">
        <f>IF(Z79&lt;Z80,"",Z79)</f>
        <v/>
      </c>
    </row>
    <row r="82" spans="11:26" ht="23.5" x14ac:dyDescent="0.35">
      <c r="K82" s="10" t="s">
        <v>48</v>
      </c>
      <c r="L82" s="11"/>
      <c r="M82" s="11"/>
      <c r="N82" s="11"/>
      <c r="O82" s="11"/>
      <c r="P82" s="12"/>
      <c r="Q82" s="13"/>
    </row>
    <row r="83" spans="11:26" ht="24" thickBot="1" x14ac:dyDescent="0.4">
      <c r="K83" s="14" t="s">
        <v>130</v>
      </c>
      <c r="L83" s="15"/>
      <c r="M83" s="15"/>
      <c r="N83" s="15"/>
      <c r="O83" s="15"/>
      <c r="P83" s="16"/>
      <c r="Q83" s="17"/>
    </row>
    <row r="84" spans="11:26" ht="15" thickBot="1" x14ac:dyDescent="0.4">
      <c r="K84"/>
      <c r="L84"/>
      <c r="M84"/>
      <c r="N84"/>
      <c r="O84"/>
      <c r="P84" s="1"/>
      <c r="Q84"/>
    </row>
    <row r="85" spans="11:26" ht="23.5" x14ac:dyDescent="0.35">
      <c r="K85" s="18" t="s">
        <v>49</v>
      </c>
      <c r="L85" s="19"/>
      <c r="M85" s="19"/>
      <c r="N85" s="19"/>
      <c r="O85" s="19"/>
      <c r="P85" s="20"/>
      <c r="Q85" s="21"/>
    </row>
    <row r="86" spans="11:26" ht="23.5" x14ac:dyDescent="0.35">
      <c r="K86" s="22" t="s">
        <v>50</v>
      </c>
      <c r="L86" s="23"/>
      <c r="M86" s="23"/>
      <c r="N86" s="23"/>
      <c r="O86" s="23"/>
      <c r="P86" s="24"/>
      <c r="Q86" s="25"/>
    </row>
    <row r="87" spans="11:26" ht="23.5" x14ac:dyDescent="0.35">
      <c r="K87" s="22" t="s">
        <v>51</v>
      </c>
      <c r="L87" s="23"/>
      <c r="M87" s="23"/>
      <c r="N87" s="23"/>
      <c r="O87" s="23"/>
      <c r="P87" s="24"/>
      <c r="Q87" s="25"/>
    </row>
    <row r="88" spans="11:26" ht="24" thickBot="1" x14ac:dyDescent="0.4">
      <c r="K88" s="26" t="s">
        <v>52</v>
      </c>
      <c r="L88" s="27"/>
      <c r="M88" s="27"/>
      <c r="N88" s="27"/>
      <c r="O88" s="27"/>
      <c r="P88" s="28"/>
      <c r="Q88" s="29"/>
    </row>
    <row r="89" spans="11:26" ht="15" thickBot="1" x14ac:dyDescent="0.4">
      <c r="K89"/>
      <c r="L89"/>
      <c r="M89"/>
      <c r="N89"/>
      <c r="O89"/>
      <c r="P89" s="1"/>
      <c r="Q89"/>
    </row>
    <row r="90" spans="11:26" ht="23.5" x14ac:dyDescent="0.35">
      <c r="K90" s="30" t="s">
        <v>53</v>
      </c>
      <c r="L90" s="31"/>
      <c r="M90" s="31"/>
      <c r="N90" s="32"/>
      <c r="O90" s="32"/>
      <c r="P90" s="33"/>
      <c r="Q90" s="34"/>
    </row>
    <row r="91" spans="11:26" ht="23" x14ac:dyDescent="0.35">
      <c r="K91" s="35" t="s">
        <v>54</v>
      </c>
      <c r="L91" s="36"/>
      <c r="M91" s="36"/>
      <c r="N91" s="37"/>
      <c r="O91" s="37"/>
      <c r="P91" s="38"/>
      <c r="Q91" s="39"/>
    </row>
    <row r="92" spans="11:26" ht="23" x14ac:dyDescent="0.35">
      <c r="K92" s="35" t="s">
        <v>55</v>
      </c>
      <c r="L92" s="36"/>
      <c r="M92" s="36"/>
      <c r="N92" s="37"/>
      <c r="O92" s="37"/>
      <c r="P92" s="38"/>
      <c r="Q92" s="39"/>
    </row>
    <row r="93" spans="11:26" ht="23.5" thickBot="1" x14ac:dyDescent="0.4">
      <c r="K93" s="40" t="s">
        <v>131</v>
      </c>
      <c r="L93" s="41"/>
      <c r="M93" s="41"/>
      <c r="N93" s="42"/>
      <c r="O93" s="42"/>
      <c r="P93" s="43"/>
      <c r="Q93" s="44"/>
    </row>
    <row r="94" spans="11:26" x14ac:dyDescent="0.35">
      <c r="K94"/>
      <c r="L94"/>
      <c r="M94"/>
      <c r="N94"/>
      <c r="O94"/>
      <c r="P94" s="1"/>
      <c r="Q94"/>
    </row>
    <row r="95" spans="11:26" x14ac:dyDescent="0.35">
      <c r="K95"/>
      <c r="L95"/>
      <c r="M95"/>
      <c r="N95"/>
      <c r="O95"/>
      <c r="P95"/>
      <c r="Q95"/>
    </row>
    <row r="96" spans="11:26" x14ac:dyDescent="0.35">
      <c r="K96"/>
      <c r="L96"/>
      <c r="M96"/>
      <c r="N96"/>
      <c r="O96"/>
      <c r="P96"/>
      <c r="Q96"/>
    </row>
    <row r="97" spans="11:17" x14ac:dyDescent="0.35">
      <c r="K97"/>
      <c r="L97"/>
      <c r="M97"/>
      <c r="N97"/>
      <c r="O97"/>
      <c r="P97"/>
      <c r="Q97"/>
    </row>
    <row r="98" spans="11:17" x14ac:dyDescent="0.35">
      <c r="K98"/>
      <c r="L98"/>
      <c r="M98"/>
      <c r="N98"/>
      <c r="O98"/>
      <c r="P98"/>
      <c r="Q98"/>
    </row>
    <row r="99" spans="11:17" x14ac:dyDescent="0.35">
      <c r="K99"/>
      <c r="L99"/>
      <c r="M99"/>
      <c r="N99"/>
      <c r="O99"/>
      <c r="P99"/>
      <c r="Q99"/>
    </row>
    <row r="100" spans="11:17" x14ac:dyDescent="0.35">
      <c r="K100"/>
      <c r="L100"/>
      <c r="M100"/>
      <c r="N100"/>
      <c r="O100"/>
      <c r="P100"/>
      <c r="Q100"/>
    </row>
  </sheetData>
  <sheetProtection algorithmName="SHA-512" hashValue="PPwxFLvSDKtVXuErXreeoowiW70xLXWYq7MwMVcXxl0matf8OnnT1OZcn0bVpwVKzzZHDw+4K2w8ctdAHZMZEg==" saltValue="ZmWU2LPxfbJBSCp6/wTKFA==" spinCount="100000" sheet="1" objects="1" scenarios="1"/>
  <autoFilter ref="A1:H67">
    <filterColumn colId="6">
      <filters>
        <filter val="X"/>
      </filters>
    </filterColumn>
  </autoFilter>
  <mergeCells count="96">
    <mergeCell ref="Q76:S77"/>
    <mergeCell ref="Q79:S79"/>
    <mergeCell ref="Q75:S75"/>
    <mergeCell ref="J2:K2"/>
    <mergeCell ref="L2:M2"/>
    <mergeCell ref="J3:K3"/>
    <mergeCell ref="Q2:R2"/>
    <mergeCell ref="Q3:R3"/>
    <mergeCell ref="N2:O2"/>
    <mergeCell ref="N3:O3"/>
    <mergeCell ref="L3:M3"/>
    <mergeCell ref="O64:O67"/>
    <mergeCell ref="S64:S67"/>
    <mergeCell ref="J68:N68"/>
    <mergeCell ref="K58:K59"/>
    <mergeCell ref="L58:L59"/>
    <mergeCell ref="AB8:AB29"/>
    <mergeCell ref="AB30:AB59"/>
    <mergeCell ref="AB60:AB63"/>
    <mergeCell ref="Z16:Z18"/>
    <mergeCell ref="Z19:Z29"/>
    <mergeCell ref="Z30:Z38"/>
    <mergeCell ref="AB64:AB67"/>
    <mergeCell ref="Z64:Z67"/>
    <mergeCell ref="AA8:AA18"/>
    <mergeCell ref="AA19:AA29"/>
    <mergeCell ref="AA30:AA47"/>
    <mergeCell ref="AA48:AA57"/>
    <mergeCell ref="AA58:AA59"/>
    <mergeCell ref="AA60:AA63"/>
    <mergeCell ref="AA64:AA67"/>
    <mergeCell ref="Z39:Z41"/>
    <mergeCell ref="Z42:Z47"/>
    <mergeCell ref="Z48:Z51"/>
    <mergeCell ref="Z52:Z57"/>
    <mergeCell ref="Z58:Z59"/>
    <mergeCell ref="Z60:Z63"/>
    <mergeCell ref="Z8:Z15"/>
    <mergeCell ref="J1:S1"/>
    <mergeCell ref="J4:S4"/>
    <mergeCell ref="S42:S47"/>
    <mergeCell ref="K48:K57"/>
    <mergeCell ref="L48:L51"/>
    <mergeCell ref="O48:O51"/>
    <mergeCell ref="S48:S51"/>
    <mergeCell ref="L52:L57"/>
    <mergeCell ref="O52:O57"/>
    <mergeCell ref="S52:S57"/>
    <mergeCell ref="L39:L41"/>
    <mergeCell ref="O39:O41"/>
    <mergeCell ref="J30:J59"/>
    <mergeCell ref="K30:K47"/>
    <mergeCell ref="O58:O59"/>
    <mergeCell ref="S58:S59"/>
    <mergeCell ref="L64:L67"/>
    <mergeCell ref="J60:J63"/>
    <mergeCell ref="L60:L63"/>
    <mergeCell ref="O60:O63"/>
    <mergeCell ref="S60:S63"/>
    <mergeCell ref="K60:K63"/>
    <mergeCell ref="J73:L73"/>
    <mergeCell ref="M72:M73"/>
    <mergeCell ref="N72:S72"/>
    <mergeCell ref="N73:S73"/>
    <mergeCell ref="S30:S38"/>
    <mergeCell ref="S39:S41"/>
    <mergeCell ref="L42:L47"/>
    <mergeCell ref="O42:O47"/>
    <mergeCell ref="L30:L38"/>
    <mergeCell ref="O30:O38"/>
    <mergeCell ref="J70:S70"/>
    <mergeCell ref="J71:S71"/>
    <mergeCell ref="J72:L72"/>
    <mergeCell ref="J69:S69"/>
    <mergeCell ref="J64:J67"/>
    <mergeCell ref="K64:K67"/>
    <mergeCell ref="J8:J29"/>
    <mergeCell ref="K8:K18"/>
    <mergeCell ref="L8:L15"/>
    <mergeCell ref="O8:O15"/>
    <mergeCell ref="S8:S15"/>
    <mergeCell ref="L16:L18"/>
    <mergeCell ref="O16:O18"/>
    <mergeCell ref="S16:S18"/>
    <mergeCell ref="O19:O29"/>
    <mergeCell ref="S19:S29"/>
    <mergeCell ref="K19:K29"/>
    <mergeCell ref="T4:T7"/>
    <mergeCell ref="J5:S5"/>
    <mergeCell ref="J6:J7"/>
    <mergeCell ref="K6:L7"/>
    <mergeCell ref="M6:M7"/>
    <mergeCell ref="N6:N7"/>
    <mergeCell ref="O6:O7"/>
    <mergeCell ref="P6:R6"/>
    <mergeCell ref="S6:S7"/>
  </mergeCells>
  <conditionalFormatting sqref="P8:R8 Q11 Q16 Q22 Q33 Q49 Q52">
    <cfRule type="expression" dxfId="107" priority="151">
      <formula>$V8&gt;1</formula>
    </cfRule>
  </conditionalFormatting>
  <conditionalFormatting sqref="P8:R8 Q11 Q16 Q22 Q33 Q49 Q52">
    <cfRule type="expression" dxfId="106" priority="143">
      <formula>$V8&gt;1</formula>
    </cfRule>
    <cfRule type="cellIs" dxfId="105" priority="150" operator="equal">
      <formula>"x"</formula>
    </cfRule>
  </conditionalFormatting>
  <conditionalFormatting sqref="S68">
    <cfRule type="expression" dxfId="104" priority="147">
      <formula>$V$71=3</formula>
    </cfRule>
    <cfRule type="expression" dxfId="103" priority="148">
      <formula>$V$71=2</formula>
    </cfRule>
    <cfRule type="expression" dxfId="102" priority="149">
      <formula>$V$71=1</formula>
    </cfRule>
  </conditionalFormatting>
  <conditionalFormatting sqref="Q76">
    <cfRule type="expression" dxfId="101" priority="144">
      <formula>$V$71=3</formula>
    </cfRule>
    <cfRule type="expression" dxfId="100" priority="145">
      <formula>$V$71=2</formula>
    </cfRule>
    <cfRule type="expression" dxfId="99" priority="146">
      <formula>$V$71=1</formula>
    </cfRule>
  </conditionalFormatting>
  <conditionalFormatting sqref="N8 P8:R8 Q11 Q16 Q22 Q33 Q49 Q52">
    <cfRule type="expression" dxfId="98" priority="141">
      <formula>$BF8=1</formula>
    </cfRule>
  </conditionalFormatting>
  <conditionalFormatting sqref="N48">
    <cfRule type="expression" dxfId="97" priority="128">
      <formula>$BF48=1</formula>
    </cfRule>
  </conditionalFormatting>
  <conditionalFormatting sqref="M48">
    <cfRule type="expression" dxfId="96" priority="127">
      <formula>$BF48=1</formula>
    </cfRule>
  </conditionalFormatting>
  <conditionalFormatting sqref="M48">
    <cfRule type="expression" dxfId="95" priority="126">
      <formula>$V48&gt;1</formula>
    </cfRule>
  </conditionalFormatting>
  <conditionalFormatting sqref="N60">
    <cfRule type="expression" dxfId="94" priority="117">
      <formula>$BF60=1</formula>
    </cfRule>
  </conditionalFormatting>
  <conditionalFormatting sqref="M60">
    <cfRule type="expression" dxfId="93" priority="116">
      <formula>$BF60=1</formula>
    </cfRule>
  </conditionalFormatting>
  <conditionalFormatting sqref="M60">
    <cfRule type="expression" dxfId="92" priority="115">
      <formula>$V60&gt;1</formula>
    </cfRule>
  </conditionalFormatting>
  <conditionalFormatting sqref="N61:N63">
    <cfRule type="expression" dxfId="91" priority="114">
      <formula>$BF61=1</formula>
    </cfRule>
  </conditionalFormatting>
  <conditionalFormatting sqref="M61:M63">
    <cfRule type="expression" dxfId="90" priority="113">
      <formula>$BF61=1</formula>
    </cfRule>
  </conditionalFormatting>
  <conditionalFormatting sqref="M61:M63">
    <cfRule type="expression" dxfId="89" priority="112">
      <formula>$V61&gt;1</formula>
    </cfRule>
  </conditionalFormatting>
  <conditionalFormatting sqref="M58">
    <cfRule type="expression" dxfId="88" priority="106">
      <formula>$V58&gt;1</formula>
    </cfRule>
  </conditionalFormatting>
  <conditionalFormatting sqref="N58">
    <cfRule type="expression" dxfId="87" priority="108">
      <formula>$BF58=1</formula>
    </cfRule>
  </conditionalFormatting>
  <conditionalFormatting sqref="M58">
    <cfRule type="expression" dxfId="86" priority="107">
      <formula>$BF58=1</formula>
    </cfRule>
  </conditionalFormatting>
  <conditionalFormatting sqref="P65:R67">
    <cfRule type="expression" dxfId="85" priority="56">
      <formula>$BF65=1</formula>
    </cfRule>
  </conditionalFormatting>
  <conditionalFormatting sqref="M8">
    <cfRule type="expression" dxfId="84" priority="100">
      <formula>$BF8=1</formula>
    </cfRule>
  </conditionalFormatting>
  <conditionalFormatting sqref="M8">
    <cfRule type="expression" dxfId="83" priority="10">
      <formula>$V8&gt;1</formula>
    </cfRule>
  </conditionalFormatting>
  <conditionalFormatting sqref="Q19:R19">
    <cfRule type="expression" dxfId="82" priority="93">
      <formula>$V19&gt;1</formula>
    </cfRule>
    <cfRule type="cellIs" dxfId="81" priority="94" operator="equal">
      <formula>"x"</formula>
    </cfRule>
  </conditionalFormatting>
  <conditionalFormatting sqref="Q19:R19">
    <cfRule type="expression" dxfId="80" priority="92">
      <formula>$BF19=1</formula>
    </cfRule>
  </conditionalFormatting>
  <conditionalFormatting sqref="P48:R48">
    <cfRule type="expression" dxfId="79" priority="85">
      <formula>$V48&gt;1</formula>
    </cfRule>
    <cfRule type="cellIs" dxfId="78" priority="86" operator="equal">
      <formula>"x"</formula>
    </cfRule>
  </conditionalFormatting>
  <conditionalFormatting sqref="P48:R48">
    <cfRule type="expression" dxfId="77" priority="84">
      <formula>$BF48=1</formula>
    </cfRule>
  </conditionalFormatting>
  <conditionalFormatting sqref="Q58:R58">
    <cfRule type="expression" dxfId="76" priority="79">
      <formula>$V58&gt;1</formula>
    </cfRule>
  </conditionalFormatting>
  <conditionalFormatting sqref="Q58:R58">
    <cfRule type="expression" dxfId="75" priority="77">
      <formula>$V58&gt;1</formula>
    </cfRule>
    <cfRule type="cellIs" dxfId="74" priority="78" operator="equal">
      <formula>"x"</formula>
    </cfRule>
  </conditionalFormatting>
  <conditionalFormatting sqref="Q58:R58">
    <cfRule type="expression" dxfId="73" priority="76">
      <formula>$BF58=1</formula>
    </cfRule>
  </conditionalFormatting>
  <conditionalFormatting sqref="Q59:R59">
    <cfRule type="expression" dxfId="72" priority="75">
      <formula>$V59&gt;1</formula>
    </cfRule>
  </conditionalFormatting>
  <conditionalFormatting sqref="Q59:R59">
    <cfRule type="expression" dxfId="71" priority="73">
      <formula>$V59&gt;1</formula>
    </cfRule>
    <cfRule type="cellIs" dxfId="70" priority="74" operator="equal">
      <formula>"x"</formula>
    </cfRule>
  </conditionalFormatting>
  <conditionalFormatting sqref="Q59:R59">
    <cfRule type="expression" dxfId="69" priority="72">
      <formula>$BF59=1</formula>
    </cfRule>
  </conditionalFormatting>
  <conditionalFormatting sqref="P60:R60">
    <cfRule type="expression" dxfId="68" priority="71">
      <formula>$V60&gt;1</formula>
    </cfRule>
  </conditionalFormatting>
  <conditionalFormatting sqref="P60:R60">
    <cfRule type="expression" dxfId="67" priority="69">
      <formula>$V60&gt;1</formula>
    </cfRule>
    <cfRule type="cellIs" dxfId="66" priority="70" operator="equal">
      <formula>"x"</formula>
    </cfRule>
  </conditionalFormatting>
  <conditionalFormatting sqref="P60:R60">
    <cfRule type="expression" dxfId="65" priority="68">
      <formula>$BF60=1</formula>
    </cfRule>
  </conditionalFormatting>
  <conditionalFormatting sqref="P61:R61 P63:R63 Q62:R62">
    <cfRule type="expression" dxfId="64" priority="67">
      <formula>$V61&gt;1</formula>
    </cfRule>
  </conditionalFormatting>
  <conditionalFormatting sqref="P61:R61 P63:R63 Q62:R62">
    <cfRule type="expression" dxfId="63" priority="65">
      <formula>$V61&gt;1</formula>
    </cfRule>
    <cfRule type="cellIs" dxfId="62" priority="66" operator="equal">
      <formula>"x"</formula>
    </cfRule>
  </conditionalFormatting>
  <conditionalFormatting sqref="P61:R61 P63:R63 Q62:R62">
    <cfRule type="expression" dxfId="61" priority="64">
      <formula>$BF61=1</formula>
    </cfRule>
  </conditionalFormatting>
  <conditionalFormatting sqref="P64:R64">
    <cfRule type="expression" dxfId="60" priority="63">
      <formula>$V64&gt;1</formula>
    </cfRule>
  </conditionalFormatting>
  <conditionalFormatting sqref="P64:R64">
    <cfRule type="expression" dxfId="59" priority="61">
      <formula>$V64&gt;1</formula>
    </cfRule>
    <cfRule type="cellIs" dxfId="58" priority="62" operator="equal">
      <formula>"x"</formula>
    </cfRule>
  </conditionalFormatting>
  <conditionalFormatting sqref="P64:R64">
    <cfRule type="expression" dxfId="57" priority="60">
      <formula>$BF64=1</formula>
    </cfRule>
  </conditionalFormatting>
  <conditionalFormatting sqref="P65:R67">
    <cfRule type="expression" dxfId="56" priority="59">
      <formula>$V65&gt;1</formula>
    </cfRule>
  </conditionalFormatting>
  <conditionalFormatting sqref="P65:R67">
    <cfRule type="expression" dxfId="55" priority="57">
      <formula>$V65&gt;1</formula>
    </cfRule>
    <cfRule type="cellIs" dxfId="54" priority="58" operator="equal">
      <formula>"x"</formula>
    </cfRule>
  </conditionalFormatting>
  <conditionalFormatting sqref="T8:T67">
    <cfRule type="expression" dxfId="53" priority="52">
      <formula>$BF8=1</formula>
    </cfRule>
  </conditionalFormatting>
  <conditionalFormatting sqref="N9:N15">
    <cfRule type="expression" dxfId="52" priority="51">
      <formula>$BF9=1</formula>
    </cfRule>
  </conditionalFormatting>
  <conditionalFormatting sqref="M9:M10">
    <cfRule type="expression" dxfId="51" priority="50">
      <formula>$BF9=1</formula>
    </cfRule>
  </conditionalFormatting>
  <conditionalFormatting sqref="M9:M10">
    <cfRule type="expression" dxfId="50" priority="49">
      <formula>$V9&gt;1</formula>
    </cfRule>
  </conditionalFormatting>
  <conditionalFormatting sqref="P9:R10 P12:R15 P11 R11">
    <cfRule type="expression" dxfId="49" priority="48">
      <formula>$V9&gt;1</formula>
    </cfRule>
  </conditionalFormatting>
  <conditionalFormatting sqref="P9:R10 P12:R15 P11 R11">
    <cfRule type="expression" dxfId="48" priority="46">
      <formula>$V9&gt;1</formula>
    </cfRule>
    <cfRule type="cellIs" dxfId="47" priority="47" operator="equal">
      <formula>"x"</formula>
    </cfRule>
  </conditionalFormatting>
  <conditionalFormatting sqref="P9:R10 P12:R15 P11 R11">
    <cfRule type="expression" dxfId="46" priority="45">
      <formula>$BF9=1</formula>
    </cfRule>
  </conditionalFormatting>
  <conditionalFormatting sqref="N16:N18">
    <cfRule type="expression" dxfId="45" priority="44">
      <formula>$BF16=1</formula>
    </cfRule>
  </conditionalFormatting>
  <conditionalFormatting sqref="M17:M18">
    <cfRule type="expression" dxfId="44" priority="43">
      <formula>$BF17=1</formula>
    </cfRule>
  </conditionalFormatting>
  <conditionalFormatting sqref="M17:M18">
    <cfRule type="expression" dxfId="43" priority="42">
      <formula>$V17&gt;1</formula>
    </cfRule>
  </conditionalFormatting>
  <conditionalFormatting sqref="P17:R18 P19 P22:P23 P30:P31 P33 P35 P39:P40 P49 P56:P59 P62 P16 R16">
    <cfRule type="expression" dxfId="42" priority="41">
      <formula>$V16&gt;1</formula>
    </cfRule>
  </conditionalFormatting>
  <conditionalFormatting sqref="P17:R18 P19 P22:P23 P30:P31 P33 P35 P39:P40 P49 P56:P59 P62 P16 R16">
    <cfRule type="expression" dxfId="41" priority="39">
      <formula>$V16&gt;1</formula>
    </cfRule>
    <cfRule type="cellIs" dxfId="40" priority="40" operator="equal">
      <formula>"x"</formula>
    </cfRule>
  </conditionalFormatting>
  <conditionalFormatting sqref="P17:R18 P19 P22:P23 P30:P31 P33 P35 P39:P40 P49 P56:P59 P62 P16 R16">
    <cfRule type="expression" dxfId="39" priority="38">
      <formula>$BF16=1</formula>
    </cfRule>
  </conditionalFormatting>
  <conditionalFormatting sqref="N19">
    <cfRule type="expression" dxfId="38" priority="34">
      <formula>$BF19=1</formula>
    </cfRule>
  </conditionalFormatting>
  <conditionalFormatting sqref="M19">
    <cfRule type="expression" dxfId="37" priority="33">
      <formula>$BF19=1</formula>
    </cfRule>
  </conditionalFormatting>
  <conditionalFormatting sqref="M19">
    <cfRule type="expression" dxfId="36" priority="32">
      <formula>$V19&gt;1</formula>
    </cfRule>
  </conditionalFormatting>
  <conditionalFormatting sqref="N20:N29">
    <cfRule type="expression" dxfId="35" priority="31">
      <formula>$BF20=1</formula>
    </cfRule>
  </conditionalFormatting>
  <conditionalFormatting sqref="M20:M21 M23:M29">
    <cfRule type="expression" dxfId="34" priority="30">
      <formula>$BF20=1</formula>
    </cfRule>
  </conditionalFormatting>
  <conditionalFormatting sqref="M20:M21 M23:M29">
    <cfRule type="expression" dxfId="33" priority="29">
      <formula>$V20&gt;1</formula>
    </cfRule>
  </conditionalFormatting>
  <conditionalFormatting sqref="N30:N47">
    <cfRule type="expression" dxfId="32" priority="28">
      <formula>$BF30=1</formula>
    </cfRule>
  </conditionalFormatting>
  <conditionalFormatting sqref="M30:M47">
    <cfRule type="expression" dxfId="31" priority="27">
      <formula>$BF30=1</formula>
    </cfRule>
  </conditionalFormatting>
  <conditionalFormatting sqref="M30:M47">
    <cfRule type="expression" dxfId="30" priority="26">
      <formula>$V30&gt;1</formula>
    </cfRule>
  </conditionalFormatting>
  <conditionalFormatting sqref="N49:N57">
    <cfRule type="expression" dxfId="29" priority="25">
      <formula>$BF49=1</formula>
    </cfRule>
  </conditionalFormatting>
  <conditionalFormatting sqref="M53:M57">
    <cfRule type="expression" dxfId="28" priority="24">
      <formula>$BF53=1</formula>
    </cfRule>
  </conditionalFormatting>
  <conditionalFormatting sqref="M53:M57">
    <cfRule type="expression" dxfId="27" priority="23">
      <formula>$V53&gt;1</formula>
    </cfRule>
  </conditionalFormatting>
  <conditionalFormatting sqref="N64:N67">
    <cfRule type="expression" dxfId="26" priority="22">
      <formula>$BF64=1</formula>
    </cfRule>
  </conditionalFormatting>
  <conditionalFormatting sqref="M64:M67">
    <cfRule type="expression" dxfId="25" priority="21">
      <formula>$BF64=1</formula>
    </cfRule>
  </conditionalFormatting>
  <conditionalFormatting sqref="M64:M67">
    <cfRule type="expression" dxfId="24" priority="20">
      <formula>$V64&gt;1</formula>
    </cfRule>
  </conditionalFormatting>
  <conditionalFormatting sqref="P20:R21 P24:R29 Q23:R23 P32:R32 Q30:R31 P34:R34 R33 P36:R38 Q35:R35 P41:R47 Q39:R40 R22">
    <cfRule type="expression" dxfId="23" priority="18">
      <formula>$V20&gt;1</formula>
    </cfRule>
    <cfRule type="cellIs" dxfId="22" priority="19" operator="equal">
      <formula>"x"</formula>
    </cfRule>
  </conditionalFormatting>
  <conditionalFormatting sqref="P20:R21 P24:R29 Q23:R23 P32:R32 Q30:R31 P34:R34 R33 P36:R38 Q35:R35 P41:R47 Q39:R40 R22">
    <cfRule type="expression" dxfId="21" priority="17">
      <formula>$BF20=1</formula>
    </cfRule>
  </conditionalFormatting>
  <conditionalFormatting sqref="P50:R51 R49 Q56:R57 P53:R55 P52 R52">
    <cfRule type="expression" dxfId="20" priority="15">
      <formula>$V49&gt;1</formula>
    </cfRule>
    <cfRule type="cellIs" dxfId="19" priority="16" operator="equal">
      <formula>"x"</formula>
    </cfRule>
  </conditionalFormatting>
  <conditionalFormatting sqref="P50:R51 R49 Q56:R57 P53:R55 P52 R52">
    <cfRule type="expression" dxfId="18" priority="14">
      <formula>$BF49=1</formula>
    </cfRule>
  </conditionalFormatting>
  <conditionalFormatting sqref="N59">
    <cfRule type="expression" dxfId="17" priority="13">
      <formula>$BF59=1</formula>
    </cfRule>
  </conditionalFormatting>
  <conditionalFormatting sqref="M59">
    <cfRule type="expression" dxfId="16" priority="12">
      <formula>$BF59=1</formula>
    </cfRule>
  </conditionalFormatting>
  <conditionalFormatting sqref="M59">
    <cfRule type="expression" dxfId="15" priority="11">
      <formula>$V59&gt;1</formula>
    </cfRule>
  </conditionalFormatting>
  <conditionalFormatting sqref="M11:M16">
    <cfRule type="expression" dxfId="14" priority="8">
      <formula>$BF11=1</formula>
    </cfRule>
  </conditionalFormatting>
  <conditionalFormatting sqref="M11:M16">
    <cfRule type="expression" dxfId="13" priority="7">
      <formula>$V11&gt;1</formula>
    </cfRule>
  </conditionalFormatting>
  <conditionalFormatting sqref="M49:M52">
    <cfRule type="expression" dxfId="12" priority="5">
      <formula>$BF49=1</formula>
    </cfRule>
  </conditionalFormatting>
  <conditionalFormatting sqref="M49:M52">
    <cfRule type="expression" dxfId="11" priority="4">
      <formula>$V49&gt;1</formula>
    </cfRule>
  </conditionalFormatting>
  <conditionalFormatting sqref="M22">
    <cfRule type="expression" dxfId="10" priority="2">
      <formula>$BF22=1</formula>
    </cfRule>
  </conditionalFormatting>
  <conditionalFormatting sqref="M22">
    <cfRule type="expression" dxfId="9" priority="1">
      <formula>$V22&gt;1</formula>
    </cfRule>
  </conditionalFormatting>
  <dataValidations count="1">
    <dataValidation type="list" allowBlank="1" showDropDown="1" showInputMessage="1" showErrorMessage="1" sqref="P8:R67">
      <formula1>"X,x"</formula1>
    </dataValidation>
  </dataValidations>
  <printOptions horizontalCentered="1"/>
  <pageMargins left="0.25" right="0.25" top="0.75" bottom="0.75" header="0.3" footer="0.3"/>
  <pageSetup scale="50" fitToHeight="0"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A1:Q2"/>
  <sheetViews>
    <sheetView workbookViewId="0">
      <selection activeCell="A2" sqref="A2:Q2"/>
    </sheetView>
  </sheetViews>
  <sheetFormatPr baseColWidth="10" defaultRowHeight="14.5" x14ac:dyDescent="0.35"/>
  <cols>
    <col min="1" max="1" width="14.81640625" style="73" customWidth="1"/>
    <col min="2" max="2" width="24.26953125" customWidth="1"/>
    <col min="3" max="3" width="29.453125" customWidth="1"/>
  </cols>
  <sheetData>
    <row r="1" spans="1:17" x14ac:dyDescent="0.35">
      <c r="A1" s="73" t="s">
        <v>2</v>
      </c>
      <c r="B1" t="s">
        <v>107</v>
      </c>
      <c r="C1" t="s">
        <v>301</v>
      </c>
      <c r="D1" t="s">
        <v>302</v>
      </c>
      <c r="E1" t="s">
        <v>303</v>
      </c>
      <c r="F1" t="s">
        <v>304</v>
      </c>
      <c r="G1" t="s">
        <v>309</v>
      </c>
      <c r="H1" t="s">
        <v>310</v>
      </c>
      <c r="I1" t="s">
        <v>311</v>
      </c>
      <c r="J1" t="s">
        <v>275</v>
      </c>
      <c r="K1" t="s">
        <v>312</v>
      </c>
      <c r="L1" s="74">
        <f>COUNTA(A:A)</f>
        <v>2</v>
      </c>
      <c r="M1" t="s">
        <v>456</v>
      </c>
      <c r="N1" t="s">
        <v>455</v>
      </c>
      <c r="O1" t="s">
        <v>534</v>
      </c>
      <c r="P1" t="s">
        <v>535</v>
      </c>
      <c r="Q1" t="s">
        <v>536</v>
      </c>
    </row>
    <row r="2" spans="1:17" x14ac:dyDescent="0.35">
      <c r="A2" s="73">
        <v>45449</v>
      </c>
      <c r="B2" t="s">
        <v>655</v>
      </c>
      <c r="C2" t="s">
        <v>656</v>
      </c>
      <c r="D2" t="s">
        <v>649</v>
      </c>
      <c r="E2" t="s">
        <v>653</v>
      </c>
      <c r="F2">
        <v>216</v>
      </c>
      <c r="G2">
        <v>27</v>
      </c>
      <c r="H2">
        <v>32</v>
      </c>
      <c r="I2">
        <v>1</v>
      </c>
      <c r="J2">
        <v>38</v>
      </c>
      <c r="K2" t="s">
        <v>682</v>
      </c>
      <c r="M2" t="s">
        <v>683</v>
      </c>
      <c r="N2" t="s">
        <v>683</v>
      </c>
      <c r="O2">
        <v>100</v>
      </c>
      <c r="P2">
        <v>38</v>
      </c>
      <c r="Q2">
        <v>38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dimension ref="A1:N64"/>
  <sheetViews>
    <sheetView workbookViewId="0">
      <selection activeCell="D4" sqref="D4"/>
    </sheetView>
  </sheetViews>
  <sheetFormatPr baseColWidth="10" defaultRowHeight="14.5" x14ac:dyDescent="0.35"/>
  <cols>
    <col min="1" max="1" width="9.453125" bestFit="1" customWidth="1"/>
    <col min="2" max="2" width="24.7265625" customWidth="1"/>
    <col min="3" max="3" width="33.54296875" customWidth="1"/>
    <col min="4" max="4" width="44.54296875" customWidth="1"/>
    <col min="5" max="5" width="18" customWidth="1"/>
    <col min="6" max="6" width="16.453125" customWidth="1"/>
    <col min="7" max="7" width="19.7265625" customWidth="1"/>
    <col min="9" max="9" width="15.54296875" customWidth="1"/>
    <col min="10" max="10" width="20.81640625" customWidth="1"/>
    <col min="11" max="12" width="18.54296875" customWidth="1"/>
    <col min="13" max="13" width="30.26953125" customWidth="1"/>
    <col min="14" max="14" width="81.54296875" customWidth="1"/>
  </cols>
  <sheetData>
    <row r="1" spans="1:14" x14ac:dyDescent="0.35">
      <c r="A1">
        <v>1</v>
      </c>
      <c r="B1" s="75" t="s">
        <v>197</v>
      </c>
      <c r="C1" s="76" t="s">
        <v>314</v>
      </c>
      <c r="D1" s="77" t="s">
        <v>315</v>
      </c>
      <c r="E1" s="75" t="s">
        <v>197</v>
      </c>
      <c r="F1" s="76" t="s">
        <v>512</v>
      </c>
      <c r="G1" s="77" t="s">
        <v>141</v>
      </c>
      <c r="H1" s="75" t="s">
        <v>150</v>
      </c>
      <c r="I1" s="76" t="s">
        <v>316</v>
      </c>
      <c r="J1" s="77" t="s">
        <v>151</v>
      </c>
      <c r="K1" s="75" t="s">
        <v>459</v>
      </c>
      <c r="L1" s="76" t="s">
        <v>459</v>
      </c>
      <c r="M1" s="77" t="s">
        <v>459</v>
      </c>
      <c r="N1" t="s">
        <v>519</v>
      </c>
    </row>
    <row r="2" spans="1:14" x14ac:dyDescent="0.35">
      <c r="A2">
        <v>2</v>
      </c>
      <c r="B2" s="78" t="s">
        <v>198</v>
      </c>
      <c r="C2" t="s">
        <v>317</v>
      </c>
      <c r="D2" s="79" t="s">
        <v>199</v>
      </c>
      <c r="E2" s="78" t="s">
        <v>463</v>
      </c>
      <c r="F2" t="s">
        <v>463</v>
      </c>
      <c r="G2" s="79" t="s">
        <v>463</v>
      </c>
      <c r="H2" s="78" t="s">
        <v>461</v>
      </c>
      <c r="I2" t="s">
        <v>461</v>
      </c>
      <c r="J2" s="79" t="s">
        <v>461</v>
      </c>
      <c r="K2" s="78" t="s">
        <v>459</v>
      </c>
      <c r="L2" t="s">
        <v>459</v>
      </c>
      <c r="M2" s="79" t="s">
        <v>459</v>
      </c>
      <c r="N2" t="s">
        <v>520</v>
      </c>
    </row>
    <row r="3" spans="1:14" x14ac:dyDescent="0.35">
      <c r="A3">
        <v>3</v>
      </c>
      <c r="B3" s="78" t="s">
        <v>200</v>
      </c>
      <c r="C3" t="s">
        <v>318</v>
      </c>
      <c r="D3" s="79" t="s">
        <v>319</v>
      </c>
      <c r="E3" s="78" t="s">
        <v>463</v>
      </c>
      <c r="F3" t="s">
        <v>463</v>
      </c>
      <c r="G3" s="79" t="s">
        <v>463</v>
      </c>
      <c r="H3" s="78" t="s">
        <v>152</v>
      </c>
      <c r="I3" t="s">
        <v>153</v>
      </c>
      <c r="J3" s="79" t="s">
        <v>154</v>
      </c>
      <c r="K3" s="78" t="s">
        <v>459</v>
      </c>
      <c r="L3" t="s">
        <v>459</v>
      </c>
      <c r="M3" s="79" t="s">
        <v>459</v>
      </c>
      <c r="N3" t="s">
        <v>492</v>
      </c>
    </row>
    <row r="4" spans="1:14" x14ac:dyDescent="0.35">
      <c r="A4">
        <v>4</v>
      </c>
      <c r="B4" s="78" t="s">
        <v>142</v>
      </c>
      <c r="C4" t="s">
        <v>320</v>
      </c>
      <c r="D4" s="79" t="s">
        <v>424</v>
      </c>
      <c r="E4" s="78" t="s">
        <v>142</v>
      </c>
      <c r="F4" t="s">
        <v>143</v>
      </c>
      <c r="G4" s="79" t="s">
        <v>321</v>
      </c>
      <c r="H4" s="78" t="s">
        <v>142</v>
      </c>
      <c r="I4" t="s">
        <v>155</v>
      </c>
      <c r="J4" s="79" t="s">
        <v>156</v>
      </c>
      <c r="K4" s="78" t="s">
        <v>459</v>
      </c>
      <c r="L4" t="s">
        <v>459</v>
      </c>
      <c r="M4" s="79" t="s">
        <v>459</v>
      </c>
      <c r="N4" t="s">
        <v>492</v>
      </c>
    </row>
    <row r="5" spans="1:14" x14ac:dyDescent="0.35">
      <c r="A5">
        <v>5</v>
      </c>
      <c r="B5" s="78" t="s">
        <v>201</v>
      </c>
      <c r="C5" t="s">
        <v>202</v>
      </c>
      <c r="D5" s="79" t="s">
        <v>203</v>
      </c>
      <c r="E5" s="78" t="s">
        <v>463</v>
      </c>
      <c r="F5" t="s">
        <v>463</v>
      </c>
      <c r="G5" s="79" t="s">
        <v>463</v>
      </c>
      <c r="H5" s="78" t="s">
        <v>461</v>
      </c>
      <c r="I5" t="s">
        <v>461</v>
      </c>
      <c r="J5" s="79" t="s">
        <v>461</v>
      </c>
      <c r="K5" s="78" t="s">
        <v>459</v>
      </c>
      <c r="L5" t="s">
        <v>459</v>
      </c>
      <c r="M5" s="79" t="s">
        <v>459</v>
      </c>
      <c r="N5" t="s">
        <v>521</v>
      </c>
    </row>
    <row r="6" spans="1:14" x14ac:dyDescent="0.35">
      <c r="A6">
        <v>6</v>
      </c>
      <c r="B6" s="78" t="s">
        <v>276</v>
      </c>
      <c r="C6" t="s">
        <v>204</v>
      </c>
      <c r="D6" s="79" t="s">
        <v>425</v>
      </c>
      <c r="E6" s="78" t="s">
        <v>463</v>
      </c>
      <c r="F6" t="s">
        <v>463</v>
      </c>
      <c r="G6" s="79" t="s">
        <v>463</v>
      </c>
      <c r="H6" s="78" t="s">
        <v>276</v>
      </c>
      <c r="I6" t="s">
        <v>157</v>
      </c>
      <c r="J6" s="79" t="s">
        <v>158</v>
      </c>
      <c r="K6" s="78" t="s">
        <v>459</v>
      </c>
      <c r="L6" t="s">
        <v>459</v>
      </c>
      <c r="M6" s="79" t="s">
        <v>459</v>
      </c>
      <c r="N6" t="s">
        <v>522</v>
      </c>
    </row>
    <row r="7" spans="1:14" x14ac:dyDescent="0.35">
      <c r="A7">
        <v>7</v>
      </c>
      <c r="B7" s="78" t="s">
        <v>205</v>
      </c>
      <c r="C7" t="s">
        <v>322</v>
      </c>
      <c r="D7" s="79" t="s">
        <v>206</v>
      </c>
      <c r="E7" s="78" t="s">
        <v>463</v>
      </c>
      <c r="F7" t="s">
        <v>463</v>
      </c>
      <c r="G7" s="79" t="s">
        <v>463</v>
      </c>
      <c r="H7" s="78" t="s">
        <v>461</v>
      </c>
      <c r="I7" t="s">
        <v>461</v>
      </c>
      <c r="J7" s="79" t="s">
        <v>461</v>
      </c>
      <c r="K7" s="78" t="s">
        <v>459</v>
      </c>
      <c r="L7" t="s">
        <v>459</v>
      </c>
      <c r="M7" s="79" t="s">
        <v>459</v>
      </c>
      <c r="N7" t="s">
        <v>492</v>
      </c>
    </row>
    <row r="8" spans="1:14" x14ac:dyDescent="0.35">
      <c r="A8">
        <v>8</v>
      </c>
      <c r="B8" s="78" t="s">
        <v>207</v>
      </c>
      <c r="C8" t="s">
        <v>208</v>
      </c>
      <c r="D8" s="79" t="s">
        <v>323</v>
      </c>
      <c r="E8" s="78" t="s">
        <v>463</v>
      </c>
      <c r="F8" t="s">
        <v>463</v>
      </c>
      <c r="G8" s="79" t="s">
        <v>463</v>
      </c>
      <c r="H8" s="78" t="s">
        <v>159</v>
      </c>
      <c r="I8" t="s">
        <v>160</v>
      </c>
      <c r="J8" s="79" t="s">
        <v>161</v>
      </c>
      <c r="K8" s="78" t="s">
        <v>459</v>
      </c>
      <c r="L8" t="s">
        <v>459</v>
      </c>
      <c r="M8" s="79" t="s">
        <v>459</v>
      </c>
      <c r="N8" t="s">
        <v>492</v>
      </c>
    </row>
    <row r="9" spans="1:14" x14ac:dyDescent="0.35">
      <c r="A9">
        <v>9</v>
      </c>
      <c r="B9" s="78" t="s">
        <v>209</v>
      </c>
      <c r="C9" t="s">
        <v>324</v>
      </c>
      <c r="D9" s="79" t="s">
        <v>493</v>
      </c>
      <c r="E9" s="78" t="s">
        <v>144</v>
      </c>
      <c r="F9" t="s">
        <v>325</v>
      </c>
      <c r="G9" s="79" t="s">
        <v>326</v>
      </c>
      <c r="H9" s="78" t="s">
        <v>162</v>
      </c>
      <c r="I9" t="s">
        <v>163</v>
      </c>
      <c r="J9" s="79" t="s">
        <v>164</v>
      </c>
      <c r="K9" s="78" t="s">
        <v>459</v>
      </c>
      <c r="L9" t="s">
        <v>459</v>
      </c>
      <c r="M9" s="79" t="s">
        <v>459</v>
      </c>
      <c r="N9" t="s">
        <v>523</v>
      </c>
    </row>
    <row r="10" spans="1:14" x14ac:dyDescent="0.35">
      <c r="A10">
        <v>10</v>
      </c>
      <c r="B10" s="78" t="s">
        <v>327</v>
      </c>
      <c r="C10" t="s">
        <v>328</v>
      </c>
      <c r="D10" s="79" t="s">
        <v>329</v>
      </c>
      <c r="E10" s="78" t="s">
        <v>463</v>
      </c>
      <c r="F10" t="s">
        <v>463</v>
      </c>
      <c r="G10" s="79" t="s">
        <v>463</v>
      </c>
      <c r="H10" s="78" t="s">
        <v>461</v>
      </c>
      <c r="I10" t="s">
        <v>461</v>
      </c>
      <c r="J10" s="79" t="s">
        <v>461</v>
      </c>
      <c r="K10" s="78" t="s">
        <v>459</v>
      </c>
      <c r="L10" t="s">
        <v>459</v>
      </c>
      <c r="M10" s="79" t="s">
        <v>459</v>
      </c>
      <c r="N10" t="s">
        <v>492</v>
      </c>
    </row>
    <row r="11" spans="1:14" x14ac:dyDescent="0.35">
      <c r="A11">
        <v>11</v>
      </c>
      <c r="B11" s="78" t="s">
        <v>210</v>
      </c>
      <c r="C11" t="s">
        <v>330</v>
      </c>
      <c r="D11" s="79" t="s">
        <v>331</v>
      </c>
      <c r="E11" s="78" t="s">
        <v>463</v>
      </c>
      <c r="F11" t="s">
        <v>463</v>
      </c>
      <c r="G11" s="79" t="s">
        <v>463</v>
      </c>
      <c r="H11" s="78" t="s">
        <v>461</v>
      </c>
      <c r="I11" t="s">
        <v>461</v>
      </c>
      <c r="J11" s="79" t="s">
        <v>461</v>
      </c>
      <c r="K11" s="78" t="s">
        <v>459</v>
      </c>
      <c r="L11" t="s">
        <v>459</v>
      </c>
      <c r="M11" s="79" t="s">
        <v>459</v>
      </c>
      <c r="N11" t="s">
        <v>492</v>
      </c>
    </row>
    <row r="12" spans="1:14" x14ac:dyDescent="0.35">
      <c r="A12">
        <v>12</v>
      </c>
      <c r="B12" s="78" t="s">
        <v>165</v>
      </c>
      <c r="C12" t="s">
        <v>494</v>
      </c>
      <c r="D12" s="79" t="s">
        <v>332</v>
      </c>
      <c r="E12" s="78" t="s">
        <v>463</v>
      </c>
      <c r="F12" t="s">
        <v>463</v>
      </c>
      <c r="G12" s="79" t="s">
        <v>463</v>
      </c>
      <c r="H12" s="78" t="s">
        <v>165</v>
      </c>
      <c r="I12" t="s">
        <v>166</v>
      </c>
      <c r="J12" s="79" t="s">
        <v>167</v>
      </c>
      <c r="K12" s="78" t="s">
        <v>459</v>
      </c>
      <c r="L12" t="s">
        <v>459</v>
      </c>
      <c r="M12" s="79" t="s">
        <v>459</v>
      </c>
      <c r="N12" t="s">
        <v>492</v>
      </c>
    </row>
    <row r="13" spans="1:14" x14ac:dyDescent="0.35">
      <c r="A13">
        <v>13</v>
      </c>
      <c r="B13" s="78" t="s">
        <v>211</v>
      </c>
      <c r="C13" t="s">
        <v>333</v>
      </c>
      <c r="D13" s="79" t="s">
        <v>212</v>
      </c>
      <c r="E13" s="78" t="s">
        <v>463</v>
      </c>
      <c r="F13" t="s">
        <v>463</v>
      </c>
      <c r="G13" s="79" t="s">
        <v>463</v>
      </c>
      <c r="H13" s="78" t="s">
        <v>461</v>
      </c>
      <c r="I13" t="s">
        <v>461</v>
      </c>
      <c r="J13" s="79" t="s">
        <v>461</v>
      </c>
      <c r="K13" s="78" t="s">
        <v>459</v>
      </c>
      <c r="L13" t="s">
        <v>459</v>
      </c>
      <c r="M13" s="79" t="s">
        <v>459</v>
      </c>
      <c r="N13" t="s">
        <v>492</v>
      </c>
    </row>
    <row r="14" spans="1:14" x14ac:dyDescent="0.35">
      <c r="A14">
        <v>14</v>
      </c>
      <c r="B14" s="78" t="s">
        <v>213</v>
      </c>
      <c r="C14" t="s">
        <v>334</v>
      </c>
      <c r="D14" s="79" t="s">
        <v>335</v>
      </c>
      <c r="E14" s="78" t="s">
        <v>463</v>
      </c>
      <c r="F14" t="s">
        <v>463</v>
      </c>
      <c r="G14" s="79" t="s">
        <v>463</v>
      </c>
      <c r="H14" s="78" t="s">
        <v>461</v>
      </c>
      <c r="I14" t="s">
        <v>461</v>
      </c>
      <c r="J14" s="79" t="s">
        <v>461</v>
      </c>
      <c r="K14" s="78" t="s">
        <v>459</v>
      </c>
      <c r="L14" t="s">
        <v>459</v>
      </c>
      <c r="M14" s="79" t="s">
        <v>459</v>
      </c>
      <c r="N14" t="s">
        <v>492</v>
      </c>
    </row>
    <row r="15" spans="1:14" x14ac:dyDescent="0.35">
      <c r="A15">
        <v>15</v>
      </c>
      <c r="B15" s="78" t="s">
        <v>145</v>
      </c>
      <c r="C15" t="s">
        <v>336</v>
      </c>
      <c r="D15" s="79" t="s">
        <v>214</v>
      </c>
      <c r="E15" s="78" t="s">
        <v>145</v>
      </c>
      <c r="F15" t="s">
        <v>337</v>
      </c>
      <c r="G15" s="79" t="s">
        <v>146</v>
      </c>
      <c r="H15" s="78" t="s">
        <v>145</v>
      </c>
      <c r="I15" t="s">
        <v>338</v>
      </c>
      <c r="J15" s="79" t="s">
        <v>168</v>
      </c>
      <c r="K15" s="78" t="s">
        <v>459</v>
      </c>
      <c r="L15" t="s">
        <v>459</v>
      </c>
      <c r="M15" s="79" t="s">
        <v>459</v>
      </c>
      <c r="N15" t="s">
        <v>492</v>
      </c>
    </row>
    <row r="16" spans="1:14" x14ac:dyDescent="0.35">
      <c r="A16">
        <v>16</v>
      </c>
      <c r="B16" s="78" t="s">
        <v>169</v>
      </c>
      <c r="C16" t="s">
        <v>215</v>
      </c>
      <c r="D16" s="79" t="s">
        <v>339</v>
      </c>
      <c r="E16" s="78" t="s">
        <v>463</v>
      </c>
      <c r="F16" t="s">
        <v>463</v>
      </c>
      <c r="G16" s="79" t="s">
        <v>463</v>
      </c>
      <c r="H16" s="78" t="s">
        <v>169</v>
      </c>
      <c r="I16" t="s">
        <v>340</v>
      </c>
      <c r="J16" s="79" t="s">
        <v>170</v>
      </c>
      <c r="K16" s="78" t="s">
        <v>459</v>
      </c>
      <c r="L16" t="s">
        <v>459</v>
      </c>
      <c r="M16" s="79" t="s">
        <v>459</v>
      </c>
      <c r="N16" t="s">
        <v>492</v>
      </c>
    </row>
    <row r="17" spans="1:14" x14ac:dyDescent="0.35">
      <c r="A17">
        <v>17</v>
      </c>
      <c r="B17" s="78" t="s">
        <v>18</v>
      </c>
      <c r="C17" t="s">
        <v>216</v>
      </c>
      <c r="D17" s="79" t="s">
        <v>341</v>
      </c>
      <c r="E17" s="78" t="s">
        <v>463</v>
      </c>
      <c r="F17" t="s">
        <v>463</v>
      </c>
      <c r="G17" s="79" t="s">
        <v>463</v>
      </c>
      <c r="H17" s="78" t="s">
        <v>461</v>
      </c>
      <c r="I17" t="s">
        <v>461</v>
      </c>
      <c r="J17" s="79" t="s">
        <v>461</v>
      </c>
      <c r="K17" s="78" t="s">
        <v>459</v>
      </c>
      <c r="L17" t="s">
        <v>459</v>
      </c>
      <c r="M17" s="79" t="s">
        <v>459</v>
      </c>
      <c r="N17" t="s">
        <v>492</v>
      </c>
    </row>
    <row r="18" spans="1:14" x14ac:dyDescent="0.35">
      <c r="A18">
        <v>18</v>
      </c>
      <c r="B18" s="78" t="s">
        <v>217</v>
      </c>
      <c r="C18" t="s">
        <v>218</v>
      </c>
      <c r="D18" s="79" t="s">
        <v>342</v>
      </c>
      <c r="E18" s="78" t="s">
        <v>463</v>
      </c>
      <c r="F18" t="s">
        <v>463</v>
      </c>
      <c r="G18" s="79" t="s">
        <v>463</v>
      </c>
      <c r="H18" s="78" t="s">
        <v>461</v>
      </c>
      <c r="I18" t="s">
        <v>461</v>
      </c>
      <c r="J18" s="79" t="s">
        <v>461</v>
      </c>
      <c r="K18" s="78" t="s">
        <v>459</v>
      </c>
      <c r="L18" t="s">
        <v>459</v>
      </c>
      <c r="M18" s="79" t="s">
        <v>459</v>
      </c>
      <c r="N18" t="s">
        <v>524</v>
      </c>
    </row>
    <row r="19" spans="1:14" x14ac:dyDescent="0.35">
      <c r="A19">
        <v>19</v>
      </c>
      <c r="B19" s="78" t="s">
        <v>219</v>
      </c>
      <c r="C19" t="s">
        <v>220</v>
      </c>
      <c r="D19" s="79" t="s">
        <v>221</v>
      </c>
      <c r="E19" s="78" t="s">
        <v>463</v>
      </c>
      <c r="F19" t="s">
        <v>463</v>
      </c>
      <c r="G19" s="79" t="s">
        <v>463</v>
      </c>
      <c r="H19" s="78" t="s">
        <v>461</v>
      </c>
      <c r="I19" t="s">
        <v>461</v>
      </c>
      <c r="J19" s="79" t="s">
        <v>461</v>
      </c>
      <c r="K19" s="78" t="s">
        <v>459</v>
      </c>
      <c r="L19" t="s">
        <v>459</v>
      </c>
      <c r="M19" s="79" t="s">
        <v>459</v>
      </c>
      <c r="N19" t="s">
        <v>492</v>
      </c>
    </row>
    <row r="20" spans="1:14" x14ac:dyDescent="0.35">
      <c r="A20">
        <v>20</v>
      </c>
      <c r="B20" s="78" t="s">
        <v>343</v>
      </c>
      <c r="C20" t="s">
        <v>222</v>
      </c>
      <c r="D20" s="79" t="s">
        <v>223</v>
      </c>
      <c r="E20" s="78" t="s">
        <v>463</v>
      </c>
      <c r="F20" t="s">
        <v>463</v>
      </c>
      <c r="G20" s="79" t="s">
        <v>463</v>
      </c>
      <c r="H20" s="78" t="s">
        <v>461</v>
      </c>
      <c r="I20" t="s">
        <v>461</v>
      </c>
      <c r="J20" s="79" t="s">
        <v>461</v>
      </c>
      <c r="K20" s="78" t="s">
        <v>459</v>
      </c>
      <c r="L20" t="s">
        <v>459</v>
      </c>
      <c r="M20" s="79" t="s">
        <v>459</v>
      </c>
      <c r="N20" t="s">
        <v>492</v>
      </c>
    </row>
    <row r="21" spans="1:14" x14ac:dyDescent="0.35">
      <c r="A21">
        <v>21</v>
      </c>
      <c r="B21" s="78" t="s">
        <v>224</v>
      </c>
      <c r="C21" t="s">
        <v>344</v>
      </c>
      <c r="D21" s="79" t="s">
        <v>225</v>
      </c>
      <c r="E21" s="78" t="s">
        <v>463</v>
      </c>
      <c r="F21" t="s">
        <v>463</v>
      </c>
      <c r="G21" s="79" t="s">
        <v>463</v>
      </c>
      <c r="H21" s="78" t="s">
        <v>461</v>
      </c>
      <c r="I21" t="s">
        <v>461</v>
      </c>
      <c r="J21" s="79" t="s">
        <v>461</v>
      </c>
      <c r="K21" s="78" t="s">
        <v>459</v>
      </c>
      <c r="L21" t="s">
        <v>459</v>
      </c>
      <c r="M21" s="79" t="s">
        <v>459</v>
      </c>
      <c r="N21" t="s">
        <v>492</v>
      </c>
    </row>
    <row r="22" spans="1:14" x14ac:dyDescent="0.35">
      <c r="A22">
        <v>22</v>
      </c>
      <c r="B22" s="78" t="s">
        <v>226</v>
      </c>
      <c r="C22" t="s">
        <v>227</v>
      </c>
      <c r="D22" s="79" t="s">
        <v>228</v>
      </c>
      <c r="E22" s="78" t="s">
        <v>463</v>
      </c>
      <c r="F22" t="s">
        <v>463</v>
      </c>
      <c r="G22" s="79" t="s">
        <v>463</v>
      </c>
      <c r="H22" s="78" t="s">
        <v>461</v>
      </c>
      <c r="I22" t="s">
        <v>461</v>
      </c>
      <c r="J22" s="79" t="s">
        <v>461</v>
      </c>
      <c r="K22" s="78" t="s">
        <v>459</v>
      </c>
      <c r="L22" t="s">
        <v>459</v>
      </c>
      <c r="M22" s="79" t="s">
        <v>459</v>
      </c>
      <c r="N22" t="s">
        <v>525</v>
      </c>
    </row>
    <row r="23" spans="1:14" x14ac:dyDescent="0.35">
      <c r="A23">
        <v>23</v>
      </c>
      <c r="B23" s="78" t="s">
        <v>345</v>
      </c>
      <c r="C23" t="s">
        <v>229</v>
      </c>
      <c r="D23" s="79" t="s">
        <v>346</v>
      </c>
      <c r="E23" s="78" t="s">
        <v>463</v>
      </c>
      <c r="F23" t="s">
        <v>463</v>
      </c>
      <c r="G23" s="79" t="s">
        <v>463</v>
      </c>
      <c r="H23" s="78" t="s">
        <v>171</v>
      </c>
      <c r="I23" t="s">
        <v>172</v>
      </c>
      <c r="J23" s="79" t="s">
        <v>347</v>
      </c>
      <c r="K23" s="78" t="s">
        <v>459</v>
      </c>
      <c r="L23" t="s">
        <v>459</v>
      </c>
      <c r="M23" s="79" t="s">
        <v>459</v>
      </c>
      <c r="N23" t="s">
        <v>492</v>
      </c>
    </row>
    <row r="24" spans="1:14" x14ac:dyDescent="0.35">
      <c r="A24">
        <v>24</v>
      </c>
      <c r="B24" s="78" t="s">
        <v>173</v>
      </c>
      <c r="C24" t="s">
        <v>230</v>
      </c>
      <c r="D24" s="79" t="s">
        <v>348</v>
      </c>
      <c r="E24" s="78" t="s">
        <v>463</v>
      </c>
      <c r="F24" t="s">
        <v>463</v>
      </c>
      <c r="G24" s="79" t="s">
        <v>463</v>
      </c>
      <c r="H24" s="78" t="s">
        <v>173</v>
      </c>
      <c r="I24" t="s">
        <v>174</v>
      </c>
      <c r="J24" s="79" t="s">
        <v>349</v>
      </c>
      <c r="K24" s="78" t="s">
        <v>459</v>
      </c>
      <c r="L24" t="s">
        <v>459</v>
      </c>
      <c r="M24" s="79" t="s">
        <v>459</v>
      </c>
      <c r="N24" t="s">
        <v>492</v>
      </c>
    </row>
    <row r="25" spans="1:14" x14ac:dyDescent="0.35">
      <c r="A25">
        <v>25</v>
      </c>
      <c r="B25" s="78" t="s">
        <v>231</v>
      </c>
      <c r="C25" t="s">
        <v>350</v>
      </c>
      <c r="D25" s="79" t="s">
        <v>351</v>
      </c>
      <c r="E25" s="78" t="s">
        <v>463</v>
      </c>
      <c r="F25" t="s">
        <v>463</v>
      </c>
      <c r="G25" s="79" t="s">
        <v>463</v>
      </c>
      <c r="H25" s="78" t="s">
        <v>461</v>
      </c>
      <c r="I25" t="s">
        <v>461</v>
      </c>
      <c r="J25" s="79" t="s">
        <v>461</v>
      </c>
      <c r="K25" s="78" t="s">
        <v>459</v>
      </c>
      <c r="L25" t="s">
        <v>459</v>
      </c>
      <c r="M25" s="79" t="s">
        <v>459</v>
      </c>
      <c r="N25" t="s">
        <v>492</v>
      </c>
    </row>
    <row r="26" spans="1:14" x14ac:dyDescent="0.35">
      <c r="A26">
        <v>26</v>
      </c>
      <c r="B26" s="78" t="s">
        <v>147</v>
      </c>
      <c r="C26" t="s">
        <v>352</v>
      </c>
      <c r="D26" s="79" t="s">
        <v>353</v>
      </c>
      <c r="E26" s="78" t="s">
        <v>147</v>
      </c>
      <c r="F26" t="s">
        <v>175</v>
      </c>
      <c r="G26" s="79" t="s">
        <v>148</v>
      </c>
      <c r="H26" s="78" t="s">
        <v>147</v>
      </c>
      <c r="I26" t="s">
        <v>175</v>
      </c>
      <c r="J26" s="79" t="s">
        <v>176</v>
      </c>
      <c r="K26" s="78" t="s">
        <v>459</v>
      </c>
      <c r="L26" t="s">
        <v>459</v>
      </c>
      <c r="M26" s="79" t="s">
        <v>459</v>
      </c>
      <c r="N26" t="s">
        <v>580</v>
      </c>
    </row>
    <row r="27" spans="1:14" x14ac:dyDescent="0.35">
      <c r="A27">
        <v>27</v>
      </c>
      <c r="B27" s="78" t="s">
        <v>277</v>
      </c>
      <c r="C27" t="s">
        <v>232</v>
      </c>
      <c r="D27" s="79" t="s">
        <v>233</v>
      </c>
      <c r="E27" s="78" t="s">
        <v>463</v>
      </c>
      <c r="F27" t="s">
        <v>463</v>
      </c>
      <c r="G27" s="79" t="s">
        <v>463</v>
      </c>
      <c r="H27" s="78" t="s">
        <v>461</v>
      </c>
      <c r="I27" t="s">
        <v>461</v>
      </c>
      <c r="J27" s="79" t="s">
        <v>461</v>
      </c>
      <c r="K27" s="78" t="s">
        <v>459</v>
      </c>
      <c r="L27" t="s">
        <v>459</v>
      </c>
      <c r="M27" s="79" t="s">
        <v>459</v>
      </c>
      <c r="N27" t="s">
        <v>492</v>
      </c>
    </row>
    <row r="28" spans="1:14" x14ac:dyDescent="0.35">
      <c r="A28">
        <v>28</v>
      </c>
      <c r="B28" s="78" t="s">
        <v>234</v>
      </c>
      <c r="C28" t="s">
        <v>354</v>
      </c>
      <c r="D28" s="79" t="s">
        <v>355</v>
      </c>
      <c r="E28" s="78" t="s">
        <v>463</v>
      </c>
      <c r="F28" t="s">
        <v>463</v>
      </c>
      <c r="G28" s="79" t="s">
        <v>463</v>
      </c>
      <c r="H28" s="78" t="s">
        <v>177</v>
      </c>
      <c r="I28" t="s">
        <v>356</v>
      </c>
      <c r="J28" s="79" t="s">
        <v>357</v>
      </c>
      <c r="K28" s="78" t="s">
        <v>459</v>
      </c>
      <c r="L28" t="s">
        <v>459</v>
      </c>
      <c r="M28" s="79" t="s">
        <v>459</v>
      </c>
      <c r="N28" t="s">
        <v>492</v>
      </c>
    </row>
    <row r="29" spans="1:14" x14ac:dyDescent="0.35">
      <c r="A29">
        <v>29</v>
      </c>
      <c r="B29" s="78" t="s">
        <v>235</v>
      </c>
      <c r="C29" t="s">
        <v>236</v>
      </c>
      <c r="D29" s="79" t="s">
        <v>237</v>
      </c>
      <c r="E29" s="78" t="s">
        <v>463</v>
      </c>
      <c r="F29" t="s">
        <v>463</v>
      </c>
      <c r="G29" s="79" t="s">
        <v>463</v>
      </c>
      <c r="H29" s="78" t="s">
        <v>461</v>
      </c>
      <c r="I29" t="s">
        <v>461</v>
      </c>
      <c r="J29" s="79" t="s">
        <v>461</v>
      </c>
      <c r="K29" s="78" t="s">
        <v>459</v>
      </c>
      <c r="L29" t="s">
        <v>459</v>
      </c>
      <c r="M29" s="79" t="s">
        <v>459</v>
      </c>
      <c r="N29" t="s">
        <v>492</v>
      </c>
    </row>
    <row r="30" spans="1:14" x14ac:dyDescent="0.35">
      <c r="A30">
        <v>30</v>
      </c>
      <c r="B30" s="78" t="s">
        <v>238</v>
      </c>
      <c r="C30" t="s">
        <v>358</v>
      </c>
      <c r="D30" s="79" t="s">
        <v>359</v>
      </c>
      <c r="E30" s="78" t="s">
        <v>463</v>
      </c>
      <c r="F30" t="s">
        <v>463</v>
      </c>
      <c r="G30" s="79" t="s">
        <v>463</v>
      </c>
      <c r="H30" s="78" t="s">
        <v>461</v>
      </c>
      <c r="I30" t="s">
        <v>461</v>
      </c>
      <c r="J30" s="79" t="s">
        <v>461</v>
      </c>
      <c r="K30" s="78" t="s">
        <v>459</v>
      </c>
      <c r="L30" t="s">
        <v>459</v>
      </c>
      <c r="M30" s="79" t="s">
        <v>459</v>
      </c>
      <c r="N30" t="s">
        <v>492</v>
      </c>
    </row>
    <row r="31" spans="1:14" x14ac:dyDescent="0.35">
      <c r="A31">
        <v>31</v>
      </c>
      <c r="B31" s="78" t="s">
        <v>360</v>
      </c>
      <c r="C31" t="s">
        <v>361</v>
      </c>
      <c r="D31" s="79" t="s">
        <v>362</v>
      </c>
      <c r="E31" s="78" t="s">
        <v>463</v>
      </c>
      <c r="F31" t="s">
        <v>463</v>
      </c>
      <c r="G31" s="79" t="s">
        <v>463</v>
      </c>
      <c r="H31" s="78" t="s">
        <v>461</v>
      </c>
      <c r="I31" t="s">
        <v>461</v>
      </c>
      <c r="J31" s="79" t="s">
        <v>461</v>
      </c>
      <c r="K31" s="78" t="s">
        <v>459</v>
      </c>
      <c r="L31" t="s">
        <v>459</v>
      </c>
      <c r="M31" s="79" t="s">
        <v>459</v>
      </c>
      <c r="N31" t="s">
        <v>492</v>
      </c>
    </row>
    <row r="32" spans="1:14" x14ac:dyDescent="0.35">
      <c r="A32">
        <v>32</v>
      </c>
      <c r="B32" s="78" t="s">
        <v>178</v>
      </c>
      <c r="C32" t="s">
        <v>457</v>
      </c>
      <c r="D32" s="79" t="s">
        <v>363</v>
      </c>
      <c r="E32" s="78" t="s">
        <v>463</v>
      </c>
      <c r="F32" t="s">
        <v>463</v>
      </c>
      <c r="G32" s="79" t="s">
        <v>463</v>
      </c>
      <c r="H32" s="78" t="s">
        <v>178</v>
      </c>
      <c r="I32" t="s">
        <v>364</v>
      </c>
      <c r="J32" s="79" t="s">
        <v>365</v>
      </c>
      <c r="K32" s="78" t="s">
        <v>459</v>
      </c>
      <c r="L32" t="s">
        <v>459</v>
      </c>
      <c r="M32" s="79" t="s">
        <v>459</v>
      </c>
      <c r="N32" t="s">
        <v>492</v>
      </c>
    </row>
    <row r="33" spans="1:14" x14ac:dyDescent="0.35">
      <c r="A33">
        <v>33</v>
      </c>
      <c r="B33" s="78" t="s">
        <v>239</v>
      </c>
      <c r="C33" t="s">
        <v>240</v>
      </c>
      <c r="D33" s="79" t="s">
        <v>366</v>
      </c>
      <c r="E33" s="78" t="s">
        <v>463</v>
      </c>
      <c r="F33" t="s">
        <v>463</v>
      </c>
      <c r="G33" s="79" t="s">
        <v>463</v>
      </c>
      <c r="H33" s="78" t="s">
        <v>179</v>
      </c>
      <c r="I33" t="s">
        <v>180</v>
      </c>
      <c r="J33" s="79" t="s">
        <v>181</v>
      </c>
      <c r="K33" s="78" t="s">
        <v>459</v>
      </c>
      <c r="L33" t="s">
        <v>459</v>
      </c>
      <c r="M33" s="79" t="s">
        <v>459</v>
      </c>
      <c r="N33" t="s">
        <v>492</v>
      </c>
    </row>
    <row r="34" spans="1:14" x14ac:dyDescent="0.35">
      <c r="A34">
        <v>34</v>
      </c>
      <c r="B34" s="78" t="s">
        <v>241</v>
      </c>
      <c r="C34" t="s">
        <v>367</v>
      </c>
      <c r="D34" s="79" t="s">
        <v>368</v>
      </c>
      <c r="E34" s="78" t="s">
        <v>463</v>
      </c>
      <c r="F34" t="s">
        <v>463</v>
      </c>
      <c r="G34" s="79" t="s">
        <v>463</v>
      </c>
      <c r="H34" s="78" t="s">
        <v>461</v>
      </c>
      <c r="I34" t="s">
        <v>461</v>
      </c>
      <c r="J34" s="79" t="s">
        <v>461</v>
      </c>
      <c r="K34" s="78" t="s">
        <v>459</v>
      </c>
      <c r="L34" t="s">
        <v>459</v>
      </c>
      <c r="M34" s="79" t="s">
        <v>459</v>
      </c>
      <c r="N34" t="s">
        <v>492</v>
      </c>
    </row>
    <row r="35" spans="1:14" x14ac:dyDescent="0.35">
      <c r="A35">
        <v>35</v>
      </c>
      <c r="B35" s="78" t="s">
        <v>369</v>
      </c>
      <c r="C35" t="s">
        <v>370</v>
      </c>
      <c r="D35" s="79" t="s">
        <v>371</v>
      </c>
      <c r="E35" s="78" t="s">
        <v>463</v>
      </c>
      <c r="F35" t="s">
        <v>463</v>
      </c>
      <c r="G35" s="79" t="s">
        <v>463</v>
      </c>
      <c r="H35" s="78" t="s">
        <v>461</v>
      </c>
      <c r="I35" t="s">
        <v>461</v>
      </c>
      <c r="J35" s="79" t="s">
        <v>461</v>
      </c>
      <c r="K35" s="78" t="s">
        <v>459</v>
      </c>
      <c r="L35" t="s">
        <v>459</v>
      </c>
      <c r="M35" s="79" t="s">
        <v>459</v>
      </c>
      <c r="N35" t="s">
        <v>492</v>
      </c>
    </row>
    <row r="36" spans="1:14" x14ac:dyDescent="0.35">
      <c r="A36">
        <v>36</v>
      </c>
      <c r="B36" s="78" t="s">
        <v>136</v>
      </c>
      <c r="C36" t="s">
        <v>372</v>
      </c>
      <c r="D36" s="79" t="s">
        <v>373</v>
      </c>
      <c r="E36" s="78" t="s">
        <v>463</v>
      </c>
      <c r="F36" t="s">
        <v>463</v>
      </c>
      <c r="G36" s="79" t="s">
        <v>463</v>
      </c>
      <c r="H36" s="78" t="s">
        <v>461</v>
      </c>
      <c r="I36" t="s">
        <v>461</v>
      </c>
      <c r="J36" s="79" t="s">
        <v>461</v>
      </c>
      <c r="K36" s="78" t="s">
        <v>459</v>
      </c>
      <c r="L36" t="s">
        <v>459</v>
      </c>
      <c r="M36" s="79" t="s">
        <v>459</v>
      </c>
      <c r="N36" t="s">
        <v>492</v>
      </c>
    </row>
    <row r="37" spans="1:14" x14ac:dyDescent="0.35">
      <c r="A37">
        <v>37</v>
      </c>
      <c r="B37" s="78" t="s">
        <v>242</v>
      </c>
      <c r="C37" t="s">
        <v>374</v>
      </c>
      <c r="D37" s="79" t="s">
        <v>375</v>
      </c>
      <c r="E37" s="78" t="s">
        <v>463</v>
      </c>
      <c r="F37" t="s">
        <v>463</v>
      </c>
      <c r="G37" s="79" t="s">
        <v>463</v>
      </c>
      <c r="H37" s="78" t="s">
        <v>461</v>
      </c>
      <c r="I37" t="s">
        <v>461</v>
      </c>
      <c r="J37" s="79" t="s">
        <v>461</v>
      </c>
      <c r="K37" s="78" t="s">
        <v>459</v>
      </c>
      <c r="L37" t="s">
        <v>459</v>
      </c>
      <c r="M37" s="79" t="s">
        <v>459</v>
      </c>
      <c r="N37" t="s">
        <v>492</v>
      </c>
    </row>
    <row r="38" spans="1:14" x14ac:dyDescent="0.35">
      <c r="A38">
        <v>38</v>
      </c>
      <c r="B38" s="78" t="s">
        <v>137</v>
      </c>
      <c r="C38" t="s">
        <v>376</v>
      </c>
      <c r="D38" s="79" t="s">
        <v>377</v>
      </c>
      <c r="E38" s="78" t="s">
        <v>463</v>
      </c>
      <c r="F38" t="s">
        <v>463</v>
      </c>
      <c r="G38" s="79" t="s">
        <v>463</v>
      </c>
      <c r="H38" s="78" t="s">
        <v>461</v>
      </c>
      <c r="I38" t="s">
        <v>461</v>
      </c>
      <c r="J38" s="79" t="s">
        <v>461</v>
      </c>
      <c r="K38" s="78" t="s">
        <v>459</v>
      </c>
      <c r="L38" t="s">
        <v>459</v>
      </c>
      <c r="M38" s="79" t="s">
        <v>459</v>
      </c>
      <c r="N38" t="s">
        <v>492</v>
      </c>
    </row>
    <row r="39" spans="1:14" x14ac:dyDescent="0.35">
      <c r="A39">
        <v>39</v>
      </c>
      <c r="B39" s="78" t="s">
        <v>138</v>
      </c>
      <c r="C39" t="s">
        <v>378</v>
      </c>
      <c r="D39" s="79" t="s">
        <v>379</v>
      </c>
      <c r="E39" s="78" t="s">
        <v>463</v>
      </c>
      <c r="F39" t="s">
        <v>463</v>
      </c>
      <c r="G39" s="79" t="s">
        <v>463</v>
      </c>
      <c r="H39" s="78" t="s">
        <v>461</v>
      </c>
      <c r="I39" t="s">
        <v>461</v>
      </c>
      <c r="J39" s="79" t="s">
        <v>461</v>
      </c>
      <c r="K39" s="78" t="s">
        <v>459</v>
      </c>
      <c r="L39" t="s">
        <v>459</v>
      </c>
      <c r="M39" s="79" t="s">
        <v>459</v>
      </c>
      <c r="N39" t="s">
        <v>492</v>
      </c>
    </row>
    <row r="40" spans="1:14" x14ac:dyDescent="0.35">
      <c r="A40">
        <v>40</v>
      </c>
      <c r="B40" s="78" t="s">
        <v>139</v>
      </c>
      <c r="C40" t="s">
        <v>380</v>
      </c>
      <c r="D40" s="79" t="s">
        <v>381</v>
      </c>
      <c r="E40" s="78" t="s">
        <v>463</v>
      </c>
      <c r="F40" t="s">
        <v>463</v>
      </c>
      <c r="G40" s="79" t="s">
        <v>463</v>
      </c>
      <c r="H40" s="78" t="s">
        <v>461</v>
      </c>
      <c r="I40" t="s">
        <v>461</v>
      </c>
      <c r="J40" s="79" t="s">
        <v>461</v>
      </c>
      <c r="K40" s="78" t="s">
        <v>459</v>
      </c>
      <c r="L40" t="s">
        <v>459</v>
      </c>
      <c r="M40" s="79" t="s">
        <v>459</v>
      </c>
      <c r="N40" t="s">
        <v>492</v>
      </c>
    </row>
    <row r="41" spans="1:14" x14ac:dyDescent="0.35">
      <c r="A41">
        <v>41</v>
      </c>
      <c r="B41" s="78" t="s">
        <v>382</v>
      </c>
      <c r="C41" t="s">
        <v>383</v>
      </c>
      <c r="D41" s="79" t="s">
        <v>418</v>
      </c>
      <c r="E41" s="78" t="s">
        <v>463</v>
      </c>
      <c r="F41" t="s">
        <v>463</v>
      </c>
      <c r="G41" s="79" t="s">
        <v>463</v>
      </c>
      <c r="H41" s="78" t="s">
        <v>461</v>
      </c>
      <c r="I41" t="s">
        <v>461</v>
      </c>
      <c r="J41" s="79" t="s">
        <v>461</v>
      </c>
      <c r="K41" s="78" t="s">
        <v>459</v>
      </c>
      <c r="L41" t="s">
        <v>459</v>
      </c>
      <c r="M41" s="79" t="s">
        <v>459</v>
      </c>
      <c r="N41" t="s">
        <v>492</v>
      </c>
    </row>
    <row r="42" spans="1:14" x14ac:dyDescent="0.35">
      <c r="A42">
        <v>42</v>
      </c>
      <c r="B42" s="78" t="s">
        <v>243</v>
      </c>
      <c r="C42" t="s">
        <v>384</v>
      </c>
      <c r="D42" s="79" t="s">
        <v>419</v>
      </c>
      <c r="E42" s="78" t="s">
        <v>467</v>
      </c>
      <c r="F42" t="s">
        <v>513</v>
      </c>
      <c r="G42" s="79" t="s">
        <v>514</v>
      </c>
      <c r="H42" s="78" t="s">
        <v>182</v>
      </c>
      <c r="I42" t="s">
        <v>183</v>
      </c>
      <c r="J42" s="79" t="s">
        <v>385</v>
      </c>
      <c r="K42" s="78" t="s">
        <v>429</v>
      </c>
      <c r="L42" t="s">
        <v>428</v>
      </c>
      <c r="M42" s="79" t="s">
        <v>430</v>
      </c>
      <c r="N42" t="s">
        <v>492</v>
      </c>
    </row>
    <row r="43" spans="1:14" x14ac:dyDescent="0.35">
      <c r="A43">
        <v>43</v>
      </c>
      <c r="B43" s="78" t="s">
        <v>386</v>
      </c>
      <c r="C43" t="s">
        <v>387</v>
      </c>
      <c r="D43" s="79" t="s">
        <v>420</v>
      </c>
      <c r="E43" s="78" t="s">
        <v>463</v>
      </c>
      <c r="F43" t="s">
        <v>463</v>
      </c>
      <c r="G43" s="79" t="s">
        <v>463</v>
      </c>
      <c r="H43" s="78" t="s">
        <v>461</v>
      </c>
      <c r="I43" t="s">
        <v>461</v>
      </c>
      <c r="J43" s="79" t="s">
        <v>461</v>
      </c>
      <c r="K43" s="78" t="s">
        <v>459</v>
      </c>
      <c r="L43" t="s">
        <v>459</v>
      </c>
      <c r="M43" s="79" t="s">
        <v>459</v>
      </c>
      <c r="N43" t="s">
        <v>492</v>
      </c>
    </row>
    <row r="44" spans="1:14" x14ac:dyDescent="0.35">
      <c r="A44">
        <v>44</v>
      </c>
      <c r="B44" s="78" t="s">
        <v>244</v>
      </c>
      <c r="C44" t="s">
        <v>388</v>
      </c>
      <c r="D44" s="79" t="s">
        <v>389</v>
      </c>
      <c r="E44" s="78" t="s">
        <v>463</v>
      </c>
      <c r="F44" t="s">
        <v>463</v>
      </c>
      <c r="G44" s="79" t="s">
        <v>463</v>
      </c>
      <c r="H44" s="78" t="s">
        <v>461</v>
      </c>
      <c r="I44" t="s">
        <v>461</v>
      </c>
      <c r="J44" s="79" t="s">
        <v>461</v>
      </c>
      <c r="K44" s="78" t="s">
        <v>459</v>
      </c>
      <c r="L44" t="s">
        <v>459</v>
      </c>
      <c r="M44" s="79" t="s">
        <v>459</v>
      </c>
      <c r="N44" t="s">
        <v>526</v>
      </c>
    </row>
    <row r="45" spans="1:14" x14ac:dyDescent="0.35">
      <c r="A45">
        <v>45</v>
      </c>
      <c r="B45" s="78" t="s">
        <v>149</v>
      </c>
      <c r="C45" t="s">
        <v>390</v>
      </c>
      <c r="D45" s="79" t="s">
        <v>421</v>
      </c>
      <c r="E45" s="78" t="s">
        <v>149</v>
      </c>
      <c r="F45" t="s">
        <v>515</v>
      </c>
      <c r="G45" s="79" t="s">
        <v>516</v>
      </c>
      <c r="H45" s="78" t="s">
        <v>461</v>
      </c>
      <c r="I45" t="s">
        <v>461</v>
      </c>
      <c r="J45" s="79" t="s">
        <v>461</v>
      </c>
      <c r="K45" s="78" t="s">
        <v>429</v>
      </c>
      <c r="L45" t="s">
        <v>432</v>
      </c>
      <c r="M45" s="79" t="s">
        <v>430</v>
      </c>
      <c r="N45" t="s">
        <v>492</v>
      </c>
    </row>
    <row r="46" spans="1:14" x14ac:dyDescent="0.35">
      <c r="A46">
        <v>46</v>
      </c>
      <c r="B46" s="78" t="s">
        <v>245</v>
      </c>
      <c r="C46" t="s">
        <v>246</v>
      </c>
      <c r="D46" s="79" t="s">
        <v>391</v>
      </c>
      <c r="E46" s="78" t="s">
        <v>463</v>
      </c>
      <c r="F46" t="s">
        <v>463</v>
      </c>
      <c r="G46" s="79" t="s">
        <v>463</v>
      </c>
      <c r="H46" s="78" t="s">
        <v>461</v>
      </c>
      <c r="I46" t="s">
        <v>461</v>
      </c>
      <c r="J46" s="79" t="s">
        <v>461</v>
      </c>
      <c r="K46" s="78" t="s">
        <v>459</v>
      </c>
      <c r="L46" t="s">
        <v>459</v>
      </c>
      <c r="M46" s="79" t="s">
        <v>459</v>
      </c>
      <c r="N46" t="s">
        <v>492</v>
      </c>
    </row>
    <row r="47" spans="1:14" x14ac:dyDescent="0.35">
      <c r="A47">
        <v>47</v>
      </c>
      <c r="B47" s="78" t="s">
        <v>392</v>
      </c>
      <c r="C47" t="s">
        <v>393</v>
      </c>
      <c r="D47" s="79" t="s">
        <v>394</v>
      </c>
      <c r="E47" s="78" t="s">
        <v>463</v>
      </c>
      <c r="F47" t="s">
        <v>463</v>
      </c>
      <c r="G47" s="79" t="s">
        <v>463</v>
      </c>
      <c r="H47" s="78" t="s">
        <v>461</v>
      </c>
      <c r="I47" t="s">
        <v>461</v>
      </c>
      <c r="J47" s="79" t="s">
        <v>461</v>
      </c>
      <c r="K47" s="78" t="s">
        <v>459</v>
      </c>
      <c r="L47" t="s">
        <v>459</v>
      </c>
      <c r="M47" s="79" t="s">
        <v>459</v>
      </c>
      <c r="N47" t="s">
        <v>492</v>
      </c>
    </row>
    <row r="48" spans="1:14" x14ac:dyDescent="0.35">
      <c r="A48">
        <v>48</v>
      </c>
      <c r="B48" s="78" t="s">
        <v>247</v>
      </c>
      <c r="C48" t="s">
        <v>395</v>
      </c>
      <c r="D48" s="79" t="s">
        <v>396</v>
      </c>
      <c r="E48" s="78" t="s">
        <v>463</v>
      </c>
      <c r="F48" t="s">
        <v>463</v>
      </c>
      <c r="G48" s="79" t="s">
        <v>463</v>
      </c>
      <c r="H48" s="78" t="s">
        <v>461</v>
      </c>
      <c r="I48" t="s">
        <v>461</v>
      </c>
      <c r="J48" s="79" t="s">
        <v>461</v>
      </c>
      <c r="K48" s="78" t="s">
        <v>459</v>
      </c>
      <c r="L48" t="s">
        <v>459</v>
      </c>
      <c r="M48" s="79" t="s">
        <v>459</v>
      </c>
      <c r="N48" t="s">
        <v>492</v>
      </c>
    </row>
    <row r="49" spans="1:14" x14ac:dyDescent="0.35">
      <c r="A49">
        <v>49</v>
      </c>
      <c r="B49" s="78" t="s">
        <v>184</v>
      </c>
      <c r="C49" t="s">
        <v>397</v>
      </c>
      <c r="D49" s="79" t="s">
        <v>398</v>
      </c>
      <c r="E49" s="78" t="s">
        <v>463</v>
      </c>
      <c r="F49" t="s">
        <v>463</v>
      </c>
      <c r="G49" s="79" t="s">
        <v>463</v>
      </c>
      <c r="H49" s="78" t="s">
        <v>184</v>
      </c>
      <c r="I49" t="s">
        <v>185</v>
      </c>
      <c r="J49" s="79" t="s">
        <v>186</v>
      </c>
      <c r="K49" s="78" t="s">
        <v>459</v>
      </c>
      <c r="L49" t="s">
        <v>459</v>
      </c>
      <c r="M49" s="79" t="s">
        <v>459</v>
      </c>
      <c r="N49" t="s">
        <v>492</v>
      </c>
    </row>
    <row r="50" spans="1:14" x14ac:dyDescent="0.35">
      <c r="A50">
        <v>50</v>
      </c>
      <c r="B50" s="78" t="s">
        <v>399</v>
      </c>
      <c r="C50" t="s">
        <v>400</v>
      </c>
      <c r="D50" s="79" t="s">
        <v>422</v>
      </c>
      <c r="E50" s="78" t="s">
        <v>463</v>
      </c>
      <c r="F50" t="s">
        <v>463</v>
      </c>
      <c r="G50" s="79" t="s">
        <v>463</v>
      </c>
      <c r="H50" s="78" t="s">
        <v>187</v>
      </c>
      <c r="I50" t="s">
        <v>188</v>
      </c>
      <c r="J50" s="79" t="s">
        <v>401</v>
      </c>
      <c r="K50" s="78" t="s">
        <v>459</v>
      </c>
      <c r="L50" t="s">
        <v>459</v>
      </c>
      <c r="M50" s="79" t="s">
        <v>459</v>
      </c>
      <c r="N50" t="s">
        <v>492</v>
      </c>
    </row>
    <row r="51" spans="1:14" x14ac:dyDescent="0.35">
      <c r="A51">
        <v>51</v>
      </c>
      <c r="B51" s="78" t="s">
        <v>189</v>
      </c>
      <c r="C51" t="s">
        <v>402</v>
      </c>
      <c r="D51" s="79" t="s">
        <v>423</v>
      </c>
      <c r="E51" s="78" t="s">
        <v>463</v>
      </c>
      <c r="F51" t="s">
        <v>463</v>
      </c>
      <c r="G51" s="79" t="s">
        <v>463</v>
      </c>
      <c r="H51" s="78" t="s">
        <v>189</v>
      </c>
      <c r="I51" t="s">
        <v>190</v>
      </c>
      <c r="J51" s="79" t="s">
        <v>191</v>
      </c>
      <c r="K51" s="78" t="s">
        <v>459</v>
      </c>
      <c r="L51" t="s">
        <v>459</v>
      </c>
      <c r="M51" s="79" t="s">
        <v>459</v>
      </c>
      <c r="N51" t="s">
        <v>492</v>
      </c>
    </row>
    <row r="52" spans="1:14" x14ac:dyDescent="0.35">
      <c r="A52">
        <v>52</v>
      </c>
      <c r="B52" s="78" t="s">
        <v>192</v>
      </c>
      <c r="C52" t="s">
        <v>248</v>
      </c>
      <c r="D52" s="79" t="s">
        <v>249</v>
      </c>
      <c r="E52" s="78" t="s">
        <v>463</v>
      </c>
      <c r="F52" t="s">
        <v>463</v>
      </c>
      <c r="G52" s="79" t="s">
        <v>463</v>
      </c>
      <c r="H52" s="78" t="s">
        <v>192</v>
      </c>
      <c r="I52" t="s">
        <v>403</v>
      </c>
      <c r="J52" s="79" t="s">
        <v>193</v>
      </c>
      <c r="K52" s="78" t="s">
        <v>459</v>
      </c>
      <c r="L52" t="s">
        <v>459</v>
      </c>
      <c r="M52" s="79" t="s">
        <v>459</v>
      </c>
      <c r="N52" t="s">
        <v>492</v>
      </c>
    </row>
    <row r="53" spans="1:14" x14ac:dyDescent="0.35">
      <c r="A53">
        <v>53</v>
      </c>
      <c r="B53" s="78" t="s">
        <v>250</v>
      </c>
      <c r="C53" t="s">
        <v>404</v>
      </c>
      <c r="D53" s="79" t="s">
        <v>405</v>
      </c>
      <c r="E53" s="78" t="s">
        <v>463</v>
      </c>
      <c r="F53" t="s">
        <v>463</v>
      </c>
      <c r="G53" s="79" t="s">
        <v>463</v>
      </c>
      <c r="H53" s="78" t="s">
        <v>461</v>
      </c>
      <c r="I53" t="s">
        <v>461</v>
      </c>
      <c r="J53" s="79" t="s">
        <v>461</v>
      </c>
      <c r="K53" s="78" t="s">
        <v>459</v>
      </c>
      <c r="L53" t="s">
        <v>459</v>
      </c>
      <c r="M53" s="79" t="s">
        <v>459</v>
      </c>
      <c r="N53" t="s">
        <v>492</v>
      </c>
    </row>
    <row r="54" spans="1:14" x14ac:dyDescent="0.35">
      <c r="A54">
        <v>54</v>
      </c>
      <c r="B54" s="78" t="s">
        <v>251</v>
      </c>
      <c r="C54" t="s">
        <v>406</v>
      </c>
      <c r="D54" s="79" t="s">
        <v>407</v>
      </c>
      <c r="E54" s="78" t="s">
        <v>463</v>
      </c>
      <c r="F54" t="s">
        <v>463</v>
      </c>
      <c r="G54" s="79" t="s">
        <v>463</v>
      </c>
      <c r="H54" s="78" t="s">
        <v>461</v>
      </c>
      <c r="I54" t="s">
        <v>461</v>
      </c>
      <c r="J54" s="79" t="s">
        <v>461</v>
      </c>
      <c r="K54" s="78" t="s">
        <v>459</v>
      </c>
      <c r="L54" t="s">
        <v>459</v>
      </c>
      <c r="M54" s="79" t="s">
        <v>459</v>
      </c>
      <c r="N54" t="s">
        <v>492</v>
      </c>
    </row>
    <row r="55" spans="1:14" x14ac:dyDescent="0.35">
      <c r="A55">
        <v>55</v>
      </c>
      <c r="B55" s="78" t="s">
        <v>408</v>
      </c>
      <c r="C55" t="s">
        <v>409</v>
      </c>
      <c r="D55" s="79" t="s">
        <v>252</v>
      </c>
      <c r="E55" s="78" t="s">
        <v>463</v>
      </c>
      <c r="F55" t="s">
        <v>463</v>
      </c>
      <c r="G55" s="79" t="s">
        <v>463</v>
      </c>
      <c r="H55" s="78" t="s">
        <v>194</v>
      </c>
      <c r="I55" t="s">
        <v>195</v>
      </c>
      <c r="J55" s="79" t="s">
        <v>410</v>
      </c>
      <c r="K55" s="78" t="s">
        <v>459</v>
      </c>
      <c r="L55" t="s">
        <v>459</v>
      </c>
      <c r="M55" s="79" t="s">
        <v>459</v>
      </c>
      <c r="N55" t="s">
        <v>492</v>
      </c>
    </row>
    <row r="56" spans="1:14" x14ac:dyDescent="0.35">
      <c r="A56">
        <v>56</v>
      </c>
      <c r="B56" s="78" t="s">
        <v>411</v>
      </c>
      <c r="C56" t="s">
        <v>412</v>
      </c>
      <c r="D56" s="79" t="s">
        <v>413</v>
      </c>
      <c r="E56" s="78" t="s">
        <v>463</v>
      </c>
      <c r="F56" t="s">
        <v>463</v>
      </c>
      <c r="G56" s="79" t="s">
        <v>463</v>
      </c>
      <c r="H56" s="78" t="s">
        <v>461</v>
      </c>
      <c r="I56" t="s">
        <v>461</v>
      </c>
      <c r="J56" s="79" t="s">
        <v>461</v>
      </c>
      <c r="K56" s="78" t="s">
        <v>459</v>
      </c>
      <c r="L56" t="s">
        <v>459</v>
      </c>
      <c r="M56" s="79" t="s">
        <v>459</v>
      </c>
      <c r="N56" t="s">
        <v>527</v>
      </c>
    </row>
    <row r="57" spans="1:14" x14ac:dyDescent="0.35">
      <c r="A57">
        <v>57</v>
      </c>
      <c r="B57" s="78" t="s">
        <v>414</v>
      </c>
      <c r="C57" t="s">
        <v>253</v>
      </c>
      <c r="D57" s="79" t="s">
        <v>254</v>
      </c>
      <c r="E57" s="78" t="s">
        <v>463</v>
      </c>
      <c r="F57" t="s">
        <v>463</v>
      </c>
      <c r="G57" s="79" t="s">
        <v>463</v>
      </c>
      <c r="H57" s="78" t="s">
        <v>461</v>
      </c>
      <c r="I57" t="s">
        <v>461</v>
      </c>
      <c r="J57" s="79" t="s">
        <v>461</v>
      </c>
      <c r="K57" s="78" t="s">
        <v>459</v>
      </c>
      <c r="L57" t="s">
        <v>459</v>
      </c>
      <c r="M57" s="79" t="s">
        <v>459</v>
      </c>
      <c r="N57" t="s">
        <v>492</v>
      </c>
    </row>
    <row r="58" spans="1:14" x14ac:dyDescent="0.35">
      <c r="A58">
        <v>58</v>
      </c>
      <c r="B58" s="78" t="s">
        <v>415</v>
      </c>
      <c r="C58" t="s">
        <v>255</v>
      </c>
      <c r="D58" s="79" t="s">
        <v>256</v>
      </c>
      <c r="E58" s="78" t="s">
        <v>463</v>
      </c>
      <c r="F58" t="s">
        <v>463</v>
      </c>
      <c r="G58" s="79" t="s">
        <v>463</v>
      </c>
      <c r="H58" s="78" t="s">
        <v>461</v>
      </c>
      <c r="I58" t="s">
        <v>461</v>
      </c>
      <c r="J58" s="79" t="s">
        <v>461</v>
      </c>
      <c r="K58" s="78" t="s">
        <v>459</v>
      </c>
      <c r="L58" t="s">
        <v>459</v>
      </c>
      <c r="M58" s="79" t="s">
        <v>459</v>
      </c>
      <c r="N58" t="s">
        <v>492</v>
      </c>
    </row>
    <row r="59" spans="1:14" x14ac:dyDescent="0.35">
      <c r="A59">
        <v>59</v>
      </c>
      <c r="B59" s="78" t="s">
        <v>416</v>
      </c>
      <c r="C59" t="s">
        <v>257</v>
      </c>
      <c r="D59" s="79" t="s">
        <v>417</v>
      </c>
      <c r="E59" s="78" t="s">
        <v>463</v>
      </c>
      <c r="F59" t="s">
        <v>463</v>
      </c>
      <c r="G59" s="79" t="s">
        <v>463</v>
      </c>
      <c r="H59" s="78" t="s">
        <v>461</v>
      </c>
      <c r="I59" t="s">
        <v>461</v>
      </c>
      <c r="J59" s="79" t="s">
        <v>461</v>
      </c>
      <c r="K59" s="78" t="s">
        <v>429</v>
      </c>
      <c r="L59" t="s">
        <v>431</v>
      </c>
      <c r="M59" s="79" t="s">
        <v>430</v>
      </c>
      <c r="N59" t="s">
        <v>492</v>
      </c>
    </row>
    <row r="60" spans="1:14" x14ac:dyDescent="0.35">
      <c r="A60">
        <v>60</v>
      </c>
      <c r="B60" s="78" t="s">
        <v>258</v>
      </c>
      <c r="C60" t="s">
        <v>259</v>
      </c>
      <c r="D60" s="79" t="s">
        <v>260</v>
      </c>
      <c r="E60" s="78" t="s">
        <v>463</v>
      </c>
      <c r="F60" t="s">
        <v>463</v>
      </c>
      <c r="G60" s="79" t="s">
        <v>463</v>
      </c>
      <c r="H60" s="78" t="s">
        <v>461</v>
      </c>
      <c r="I60" t="s">
        <v>461</v>
      </c>
      <c r="J60" s="79" t="s">
        <v>461</v>
      </c>
      <c r="K60" s="78" t="s">
        <v>459</v>
      </c>
      <c r="L60" t="s">
        <v>459</v>
      </c>
      <c r="M60" s="79" t="s">
        <v>459</v>
      </c>
      <c r="N60" t="s">
        <v>492</v>
      </c>
    </row>
    <row r="61" spans="1:14" x14ac:dyDescent="0.35">
      <c r="B61" s="78"/>
      <c r="D61" s="79"/>
      <c r="E61" s="78"/>
      <c r="G61" s="79"/>
      <c r="H61" s="78"/>
      <c r="J61" s="79"/>
      <c r="K61" s="78"/>
      <c r="M61" s="79"/>
    </row>
    <row r="62" spans="1:14" ht="34.5" customHeight="1" thickBot="1" x14ac:dyDescent="0.4">
      <c r="B62" s="292" t="s">
        <v>313</v>
      </c>
      <c r="C62" s="293"/>
      <c r="D62" s="294"/>
      <c r="E62" s="295" t="s">
        <v>462</v>
      </c>
      <c r="F62" s="296"/>
      <c r="G62" s="297"/>
      <c r="H62" s="295" t="s">
        <v>460</v>
      </c>
      <c r="I62" s="296"/>
      <c r="J62" s="297"/>
      <c r="K62" s="295" t="s">
        <v>458</v>
      </c>
      <c r="L62" s="296"/>
      <c r="M62" s="297"/>
    </row>
    <row r="63" spans="1:14" x14ac:dyDescent="0.35">
      <c r="B63" s="50" t="s">
        <v>196</v>
      </c>
      <c r="C63" s="50" t="s">
        <v>426</v>
      </c>
      <c r="D63" s="50" t="s">
        <v>140</v>
      </c>
      <c r="E63" s="50" t="s">
        <v>196</v>
      </c>
      <c r="F63" s="50" t="s">
        <v>426</v>
      </c>
      <c r="G63" s="50" t="s">
        <v>140</v>
      </c>
      <c r="H63" s="50" t="s">
        <v>196</v>
      </c>
      <c r="I63" s="50" t="s">
        <v>426</v>
      </c>
      <c r="J63" s="50" t="s">
        <v>140</v>
      </c>
      <c r="K63" s="50" t="s">
        <v>196</v>
      </c>
      <c r="L63" s="50" t="s">
        <v>426</v>
      </c>
      <c r="M63" s="50" t="s">
        <v>140</v>
      </c>
    </row>
    <row r="64" spans="1:14" x14ac:dyDescent="0.35">
      <c r="B64" s="50">
        <v>2</v>
      </c>
      <c r="C64" s="50">
        <v>3</v>
      </c>
      <c r="D64" s="50">
        <v>4</v>
      </c>
      <c r="E64" s="50">
        <v>5</v>
      </c>
      <c r="F64" s="50">
        <v>6</v>
      </c>
      <c r="G64" s="50">
        <v>7</v>
      </c>
      <c r="H64" s="50">
        <v>8</v>
      </c>
      <c r="I64" s="50">
        <v>9</v>
      </c>
      <c r="J64" s="50">
        <v>10</v>
      </c>
      <c r="K64" s="50">
        <v>11</v>
      </c>
      <c r="L64" s="50">
        <v>12</v>
      </c>
      <c r="M64" s="50">
        <v>13</v>
      </c>
    </row>
  </sheetData>
  <mergeCells count="4">
    <mergeCell ref="B62:D62"/>
    <mergeCell ref="E62:G62"/>
    <mergeCell ref="H62:J62"/>
    <mergeCell ref="K62:M62"/>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filterMode="1"/>
  <dimension ref="A1:AE35"/>
  <sheetViews>
    <sheetView showGridLines="0" showRowColHeaders="0" zoomScaleNormal="100" workbookViewId="0">
      <pane ySplit="3" topLeftCell="A4" activePane="bottomLeft" state="frozenSplit"/>
      <selection activeCell="D1" sqref="D1"/>
      <selection pane="bottomLeft" activeCell="D3" sqref="D3:T35"/>
    </sheetView>
  </sheetViews>
  <sheetFormatPr baseColWidth="10" defaultRowHeight="14.5" x14ac:dyDescent="0.35"/>
  <cols>
    <col min="1" max="1" width="11.453125" style="131" hidden="1" customWidth="1"/>
    <col min="2" max="2" width="7.54296875" hidden="1" customWidth="1"/>
    <col min="3" max="3" width="8.7265625" hidden="1" customWidth="1"/>
    <col min="4" max="4" width="6.1796875" customWidth="1"/>
    <col min="5" max="5" width="20.7265625" customWidth="1"/>
    <col min="6" max="6" width="10.81640625" customWidth="1"/>
    <col min="7" max="7" width="10.453125" customWidth="1"/>
    <col min="8" max="8" width="17" customWidth="1"/>
    <col min="9" max="9" width="34.81640625" customWidth="1"/>
    <col min="10" max="10" width="35.54296875" customWidth="1"/>
    <col min="11" max="11" width="3.1796875" style="130" customWidth="1"/>
    <col min="12" max="12" width="35" customWidth="1"/>
    <col min="13" max="13" width="21.81640625" customWidth="1"/>
    <col min="14" max="14" width="35.1796875" customWidth="1"/>
    <col min="15" max="15" width="20.1796875" style="165" customWidth="1"/>
    <col min="16" max="16" width="34.81640625" customWidth="1"/>
    <col min="17" max="17" width="16.1796875" style="50" customWidth="1"/>
    <col min="18" max="18" width="16.54296875" style="50" customWidth="1"/>
    <col min="19" max="19" width="22.54296875" bestFit="1" customWidth="1"/>
    <col min="20" max="20" width="90.7265625" customWidth="1"/>
    <col min="22" max="25" width="11.453125" customWidth="1"/>
    <col min="26" max="31" width="11.453125" hidden="1" customWidth="1"/>
    <col min="32" max="36" width="11.453125" customWidth="1"/>
  </cols>
  <sheetData>
    <row r="1" spans="1:30" s="99" customFormat="1" ht="14.25" customHeight="1" x14ac:dyDescent="0.5">
      <c r="A1" s="166">
        <v>17</v>
      </c>
      <c r="B1" s="167"/>
      <c r="C1" s="167"/>
      <c r="D1" s="138"/>
      <c r="E1" s="298" t="s">
        <v>497</v>
      </c>
      <c r="F1" s="298"/>
      <c r="G1" s="299"/>
      <c r="H1" s="172">
        <f>SUBTOTAL(3,D:D)-1</f>
        <v>32</v>
      </c>
      <c r="I1" s="173" t="s">
        <v>446</v>
      </c>
      <c r="J1" s="174">
        <f>COUNTIFS(D:D,C2,S:S,"Realizada")</f>
        <v>0</v>
      </c>
      <c r="K1" s="174"/>
      <c r="L1" s="175" t="s">
        <v>518</v>
      </c>
      <c r="M1" s="176">
        <f>IFERROR(J1/H1,"")</f>
        <v>0</v>
      </c>
      <c r="N1" s="138"/>
      <c r="O1" s="138"/>
      <c r="P1" s="138"/>
      <c r="Q1" s="171"/>
      <c r="R1" s="171"/>
      <c r="S1" s="138"/>
      <c r="T1" s="138"/>
      <c r="U1" s="138"/>
      <c r="V1" s="138"/>
      <c r="W1" s="138"/>
      <c r="X1" s="138"/>
    </row>
    <row r="2" spans="1:30" ht="39" customHeight="1" x14ac:dyDescent="0.5">
      <c r="A2" s="168">
        <v>16</v>
      </c>
      <c r="B2" s="5"/>
      <c r="C2" s="5">
        <v>1</v>
      </c>
      <c r="D2" s="177"/>
      <c r="E2" s="177"/>
      <c r="F2" s="177"/>
      <c r="G2" s="177" t="s">
        <v>447</v>
      </c>
      <c r="H2" s="177"/>
      <c r="I2" s="177"/>
      <c r="J2" s="177"/>
      <c r="K2" s="178"/>
      <c r="L2" s="177"/>
      <c r="M2" s="138" t="s">
        <v>593</v>
      </c>
      <c r="N2" s="177"/>
      <c r="O2" s="177"/>
      <c r="P2" s="177"/>
      <c r="Q2" s="178"/>
      <c r="R2" s="178"/>
      <c r="S2" s="138"/>
      <c r="T2" s="138"/>
      <c r="U2" s="138"/>
      <c r="V2" s="133"/>
      <c r="W2" s="133"/>
      <c r="X2" s="133"/>
    </row>
    <row r="3" spans="1:30" ht="45" customHeight="1" x14ac:dyDescent="0.5">
      <c r="A3" s="169">
        <f>VLOOKUP(A2,Mnu!W4:AA7,5,0)</f>
        <v>2</v>
      </c>
      <c r="B3" s="5" t="s">
        <v>510</v>
      </c>
      <c r="C3" s="5" t="s">
        <v>511</v>
      </c>
      <c r="D3" s="179" t="s">
        <v>496</v>
      </c>
      <c r="E3" s="180" t="s">
        <v>107</v>
      </c>
      <c r="F3" s="180" t="s">
        <v>438</v>
      </c>
      <c r="G3" s="180" t="s">
        <v>437</v>
      </c>
      <c r="H3" s="180" t="s">
        <v>439</v>
      </c>
      <c r="I3" s="180" t="s">
        <v>440</v>
      </c>
      <c r="J3" s="181" t="s">
        <v>441</v>
      </c>
      <c r="K3" s="181" t="s">
        <v>517</v>
      </c>
      <c r="L3" s="202" t="s">
        <v>587</v>
      </c>
      <c r="M3" s="203" t="s">
        <v>590</v>
      </c>
      <c r="N3" s="203" t="s">
        <v>588</v>
      </c>
      <c r="O3" s="203" t="s">
        <v>591</v>
      </c>
      <c r="P3" s="203" t="s">
        <v>589</v>
      </c>
      <c r="Q3" s="203" t="s">
        <v>592</v>
      </c>
      <c r="R3" s="180" t="s">
        <v>444</v>
      </c>
      <c r="S3" s="180" t="s">
        <v>445</v>
      </c>
      <c r="T3" s="180" t="s">
        <v>577</v>
      </c>
      <c r="U3" s="138"/>
      <c r="V3" s="133"/>
      <c r="W3" s="133"/>
      <c r="X3" s="133"/>
      <c r="AA3" s="5" t="str">
        <f>VLOOKUP($A$1,ModVer!$A$1:$M$60,$A$3,0)</f>
        <v>Rendición de cuentas</v>
      </c>
      <c r="AB3" s="5" t="str">
        <f>VLOOKUP($A$1,ModVer!$A$1:$M$60,$A$3+1,0)</f>
        <v>Realizar anualmente la Rendición de Cuentas del desarrollo del Sistema de Gestión de SST, que incluya a todos los niveles de la empresa.</v>
      </c>
      <c r="AC3" s="5" t="str">
        <f>VLOOKUP($A$1,ModVer!$A$1:$M$60,$A$3+2,0)</f>
        <v>Solicitar los registros documentales que evidencien la rendición de cuentas anual, al interior de la empresa.
Solicitar a la empresa los mecanismos de rendición de cuentas que haya definido y verificar que se haga y se cumplan con los criterios del requisito.
La rendición de cuentas debe incluir todos los niveles de la empresa ya que en cada uno de ellos hay responsabilidades sobre la Seguridad y Salud en el Trabajo.</v>
      </c>
      <c r="AD3" s="5" t="str">
        <f>VLOOKUP($A$1,ModVer!$A$1:$N$60,14,0)</f>
        <v xml:space="preserve">   </v>
      </c>
    </row>
    <row r="4" spans="1:30" ht="64" x14ac:dyDescent="0.5">
      <c r="B4">
        <v>10</v>
      </c>
      <c r="C4">
        <v>16</v>
      </c>
      <c r="D4" s="180">
        <v>1</v>
      </c>
      <c r="E4" s="182" t="s">
        <v>655</v>
      </c>
      <c r="F4" s="182">
        <v>45449</v>
      </c>
      <c r="G4" s="183" t="s">
        <v>6</v>
      </c>
      <c r="H4" s="183" t="s">
        <v>7</v>
      </c>
      <c r="I4" s="183" t="s">
        <v>10</v>
      </c>
      <c r="J4" s="183" t="s">
        <v>109</v>
      </c>
      <c r="K4" s="184">
        <v>1</v>
      </c>
      <c r="L4" s="185"/>
      <c r="M4" s="185"/>
      <c r="N4" s="185"/>
      <c r="O4" s="204"/>
      <c r="P4" s="185"/>
      <c r="Q4" s="186"/>
      <c r="R4" s="186"/>
      <c r="S4" s="187" t="str">
        <f t="shared" ref="S4:S35" si="0">IF(L4="","",IF(R4="","No Realizada","Realizada"))</f>
        <v/>
      </c>
      <c r="T4" s="185" t="s">
        <v>665</v>
      </c>
      <c r="U4" s="138"/>
      <c r="V4" s="133"/>
      <c r="W4" s="133"/>
      <c r="X4" s="133"/>
    </row>
    <row r="5" spans="1:30" ht="48" x14ac:dyDescent="0.5">
      <c r="B5">
        <v>13</v>
      </c>
      <c r="C5">
        <v>16</v>
      </c>
      <c r="D5" s="180">
        <v>1</v>
      </c>
      <c r="E5" s="182" t="s">
        <v>655</v>
      </c>
      <c r="F5" s="182">
        <v>45449</v>
      </c>
      <c r="G5" s="183" t="s">
        <v>6</v>
      </c>
      <c r="H5" s="183" t="s">
        <v>12</v>
      </c>
      <c r="I5" s="183" t="s">
        <v>13</v>
      </c>
      <c r="J5" s="183" t="s">
        <v>72</v>
      </c>
      <c r="K5" s="184">
        <v>1</v>
      </c>
      <c r="L5" s="185"/>
      <c r="M5" s="185"/>
      <c r="N5" s="185"/>
      <c r="O5" s="204"/>
      <c r="P5" s="185"/>
      <c r="Q5" s="186"/>
      <c r="R5" s="186"/>
      <c r="S5" s="187" t="str">
        <f t="shared" si="0"/>
        <v/>
      </c>
      <c r="T5" s="185" t="s">
        <v>668</v>
      </c>
      <c r="U5" s="138"/>
      <c r="V5" s="133"/>
      <c r="W5" s="133"/>
      <c r="X5" s="133"/>
    </row>
    <row r="6" spans="1:30" ht="48" x14ac:dyDescent="0.5">
      <c r="B6">
        <v>16</v>
      </c>
      <c r="C6">
        <v>16</v>
      </c>
      <c r="D6" s="180">
        <v>1</v>
      </c>
      <c r="E6" s="182" t="s">
        <v>655</v>
      </c>
      <c r="F6" s="182">
        <v>45449</v>
      </c>
      <c r="G6" s="183" t="s">
        <v>6</v>
      </c>
      <c r="H6" s="183" t="s">
        <v>12</v>
      </c>
      <c r="I6" s="183" t="s">
        <v>17</v>
      </c>
      <c r="J6" s="183" t="s">
        <v>74</v>
      </c>
      <c r="K6" s="184">
        <v>1</v>
      </c>
      <c r="L6" s="185"/>
      <c r="M6" s="185"/>
      <c r="N6" s="185"/>
      <c r="O6" s="204"/>
      <c r="P6" s="185"/>
      <c r="Q6" s="186"/>
      <c r="R6" s="186"/>
      <c r="S6" s="187" t="str">
        <f t="shared" si="0"/>
        <v/>
      </c>
      <c r="T6" s="185" t="s">
        <v>671</v>
      </c>
      <c r="U6" s="138"/>
      <c r="V6" s="133"/>
      <c r="W6" s="133"/>
      <c r="X6" s="133"/>
    </row>
    <row r="7" spans="1:30" ht="32" x14ac:dyDescent="0.5">
      <c r="B7">
        <v>18</v>
      </c>
      <c r="C7">
        <v>16</v>
      </c>
      <c r="D7" s="180">
        <v>1</v>
      </c>
      <c r="E7" s="182" t="s">
        <v>655</v>
      </c>
      <c r="F7" s="182">
        <v>45449</v>
      </c>
      <c r="G7" s="183" t="s">
        <v>6</v>
      </c>
      <c r="H7" s="183" t="s">
        <v>12</v>
      </c>
      <c r="I7" s="183" t="s">
        <v>19</v>
      </c>
      <c r="J7" s="183" t="s">
        <v>76</v>
      </c>
      <c r="K7" s="184">
        <v>1</v>
      </c>
      <c r="L7" s="185"/>
      <c r="M7" s="185"/>
      <c r="N7" s="185"/>
      <c r="O7" s="204"/>
      <c r="P7" s="185"/>
      <c r="Q7" s="186"/>
      <c r="R7" s="186"/>
      <c r="S7" s="187" t="str">
        <f t="shared" si="0"/>
        <v/>
      </c>
      <c r="T7" s="185"/>
      <c r="U7" s="138"/>
      <c r="V7" s="133"/>
      <c r="W7" s="133"/>
      <c r="X7" s="133"/>
    </row>
    <row r="8" spans="1:30" ht="48" x14ac:dyDescent="0.35">
      <c r="B8">
        <v>19</v>
      </c>
      <c r="C8">
        <v>16</v>
      </c>
      <c r="D8" s="180">
        <v>1</v>
      </c>
      <c r="E8" s="182" t="s">
        <v>655</v>
      </c>
      <c r="F8" s="182">
        <v>45449</v>
      </c>
      <c r="G8" s="183" t="s">
        <v>6</v>
      </c>
      <c r="H8" s="183" t="s">
        <v>12</v>
      </c>
      <c r="I8" s="183" t="s">
        <v>20</v>
      </c>
      <c r="J8" s="183" t="s">
        <v>77</v>
      </c>
      <c r="K8" s="184">
        <v>1</v>
      </c>
      <c r="L8" s="185"/>
      <c r="M8" s="185"/>
      <c r="N8" s="185"/>
      <c r="O8" s="204"/>
      <c r="P8" s="185"/>
      <c r="Q8" s="186"/>
      <c r="R8" s="186"/>
      <c r="S8" s="187" t="str">
        <f t="shared" si="0"/>
        <v/>
      </c>
      <c r="T8" s="185"/>
    </row>
    <row r="9" spans="1:30" ht="64" x14ac:dyDescent="0.35">
      <c r="B9">
        <v>20</v>
      </c>
      <c r="C9">
        <v>16</v>
      </c>
      <c r="D9" s="180">
        <v>1</v>
      </c>
      <c r="E9" s="182" t="s">
        <v>655</v>
      </c>
      <c r="F9" s="182">
        <v>45449</v>
      </c>
      <c r="G9" s="183" t="s">
        <v>6</v>
      </c>
      <c r="H9" s="183" t="s">
        <v>12</v>
      </c>
      <c r="I9" s="183" t="s">
        <v>21</v>
      </c>
      <c r="J9" s="183" t="s">
        <v>110</v>
      </c>
      <c r="K9" s="184">
        <v>1</v>
      </c>
      <c r="L9" s="185"/>
      <c r="M9" s="185"/>
      <c r="N9" s="185"/>
      <c r="O9" s="204"/>
      <c r="P9" s="185"/>
      <c r="Q9" s="186"/>
      <c r="R9" s="186"/>
      <c r="S9" s="187" t="str">
        <f t="shared" si="0"/>
        <v/>
      </c>
      <c r="T9" s="185"/>
    </row>
    <row r="10" spans="1:30" ht="48" x14ac:dyDescent="0.35">
      <c r="B10">
        <v>22</v>
      </c>
      <c r="C10">
        <v>16</v>
      </c>
      <c r="D10" s="180">
        <v>1</v>
      </c>
      <c r="E10" s="182" t="s">
        <v>655</v>
      </c>
      <c r="F10" s="182">
        <v>45449</v>
      </c>
      <c r="G10" s="183" t="s">
        <v>6</v>
      </c>
      <c r="H10" s="183" t="s">
        <v>12</v>
      </c>
      <c r="I10" s="183" t="s">
        <v>23</v>
      </c>
      <c r="J10" s="183" t="s">
        <v>79</v>
      </c>
      <c r="K10" s="184">
        <v>1</v>
      </c>
      <c r="L10" s="185"/>
      <c r="M10" s="185"/>
      <c r="N10" s="185"/>
      <c r="O10" s="204"/>
      <c r="P10" s="185"/>
      <c r="Q10" s="186"/>
      <c r="R10" s="186"/>
      <c r="S10" s="187" t="str">
        <f t="shared" si="0"/>
        <v/>
      </c>
      <c r="T10" s="185"/>
    </row>
    <row r="11" spans="1:30" ht="32" x14ac:dyDescent="0.35">
      <c r="B11">
        <v>23</v>
      </c>
      <c r="C11">
        <v>16</v>
      </c>
      <c r="D11" s="180">
        <v>1</v>
      </c>
      <c r="E11" s="182" t="s">
        <v>655</v>
      </c>
      <c r="F11" s="182">
        <v>45449</v>
      </c>
      <c r="G11" s="183" t="s">
        <v>25</v>
      </c>
      <c r="H11" s="183" t="s">
        <v>26</v>
      </c>
      <c r="I11" s="183" t="s">
        <v>27</v>
      </c>
      <c r="J11" s="183" t="s">
        <v>111</v>
      </c>
      <c r="K11" s="184">
        <v>1</v>
      </c>
      <c r="L11" s="185"/>
      <c r="M11" s="185"/>
      <c r="N11" s="185"/>
      <c r="O11" s="204"/>
      <c r="P11" s="185"/>
      <c r="Q11" s="186"/>
      <c r="R11" s="186"/>
      <c r="S11" s="187" t="str">
        <f t="shared" si="0"/>
        <v/>
      </c>
      <c r="T11" s="185" t="s">
        <v>674</v>
      </c>
    </row>
    <row r="12" spans="1:30" ht="32" x14ac:dyDescent="0.35">
      <c r="B12">
        <v>31</v>
      </c>
      <c r="C12">
        <v>16</v>
      </c>
      <c r="D12" s="180">
        <v>1</v>
      </c>
      <c r="E12" s="182" t="s">
        <v>655</v>
      </c>
      <c r="F12" s="182">
        <v>45449</v>
      </c>
      <c r="G12" s="183" t="s">
        <v>25</v>
      </c>
      <c r="H12" s="183" t="s">
        <v>26</v>
      </c>
      <c r="I12" s="183" t="s">
        <v>27</v>
      </c>
      <c r="J12" s="183" t="s">
        <v>29</v>
      </c>
      <c r="K12" s="184">
        <v>1</v>
      </c>
      <c r="L12" s="185"/>
      <c r="M12" s="185"/>
      <c r="N12" s="185"/>
      <c r="O12" s="204"/>
      <c r="P12" s="185"/>
      <c r="Q12" s="186"/>
      <c r="R12" s="186"/>
      <c r="S12" s="187" t="str">
        <f t="shared" si="0"/>
        <v/>
      </c>
      <c r="T12" s="185"/>
    </row>
    <row r="13" spans="1:30" ht="48" x14ac:dyDescent="0.35">
      <c r="B13">
        <v>34</v>
      </c>
      <c r="C13">
        <v>16</v>
      </c>
      <c r="D13" s="180">
        <v>1</v>
      </c>
      <c r="E13" s="182" t="s">
        <v>655</v>
      </c>
      <c r="F13" s="182">
        <v>45449</v>
      </c>
      <c r="G13" s="183" t="s">
        <v>25</v>
      </c>
      <c r="H13" s="183" t="s">
        <v>26</v>
      </c>
      <c r="I13" s="183" t="s">
        <v>30</v>
      </c>
      <c r="J13" s="183" t="s">
        <v>113</v>
      </c>
      <c r="K13" s="184">
        <v>1</v>
      </c>
      <c r="L13" s="185"/>
      <c r="M13" s="185"/>
      <c r="N13" s="185"/>
      <c r="O13" s="204"/>
      <c r="P13" s="185"/>
      <c r="Q13" s="186"/>
      <c r="R13" s="186"/>
      <c r="S13" s="187" t="str">
        <f t="shared" si="0"/>
        <v/>
      </c>
      <c r="T13" s="185"/>
    </row>
    <row r="14" spans="1:30" ht="32" x14ac:dyDescent="0.35">
      <c r="B14">
        <v>35</v>
      </c>
      <c r="C14">
        <v>16</v>
      </c>
      <c r="D14" s="180">
        <v>1</v>
      </c>
      <c r="E14" s="182" t="s">
        <v>655</v>
      </c>
      <c r="F14" s="182">
        <v>45449</v>
      </c>
      <c r="G14" s="183" t="s">
        <v>25</v>
      </c>
      <c r="H14" s="183" t="s">
        <v>26</v>
      </c>
      <c r="I14" s="183" t="s">
        <v>31</v>
      </c>
      <c r="J14" s="183" t="s">
        <v>87</v>
      </c>
      <c r="K14" s="184">
        <v>1</v>
      </c>
      <c r="L14" s="185"/>
      <c r="M14" s="185"/>
      <c r="N14" s="185"/>
      <c r="O14" s="204"/>
      <c r="P14" s="185"/>
      <c r="Q14" s="186"/>
      <c r="R14" s="186"/>
      <c r="S14" s="187" t="str">
        <f t="shared" si="0"/>
        <v/>
      </c>
      <c r="T14" s="185"/>
    </row>
    <row r="15" spans="1:30" ht="32" x14ac:dyDescent="0.35">
      <c r="B15">
        <v>36</v>
      </c>
      <c r="C15">
        <v>16</v>
      </c>
      <c r="D15" s="180">
        <v>1</v>
      </c>
      <c r="E15" s="182" t="s">
        <v>655</v>
      </c>
      <c r="F15" s="182">
        <v>45449</v>
      </c>
      <c r="G15" s="183" t="s">
        <v>25</v>
      </c>
      <c r="H15" s="183" t="s">
        <v>26</v>
      </c>
      <c r="I15" s="183" t="s">
        <v>31</v>
      </c>
      <c r="J15" s="183" t="s">
        <v>88</v>
      </c>
      <c r="K15" s="184">
        <v>1</v>
      </c>
      <c r="L15" s="185"/>
      <c r="M15" s="185"/>
      <c r="N15" s="185"/>
      <c r="O15" s="204"/>
      <c r="P15" s="185"/>
      <c r="Q15" s="186"/>
      <c r="R15" s="186"/>
      <c r="S15" s="187" t="str">
        <f t="shared" si="0"/>
        <v/>
      </c>
      <c r="T15" s="185"/>
    </row>
    <row r="16" spans="1:30" ht="32" x14ac:dyDescent="0.35">
      <c r="B16">
        <v>37</v>
      </c>
      <c r="C16">
        <v>16</v>
      </c>
      <c r="D16" s="180">
        <v>1</v>
      </c>
      <c r="E16" s="182" t="s">
        <v>655</v>
      </c>
      <c r="F16" s="182">
        <v>45449</v>
      </c>
      <c r="G16" s="183" t="s">
        <v>25</v>
      </c>
      <c r="H16" s="183" t="s">
        <v>26</v>
      </c>
      <c r="I16" s="183" t="s">
        <v>31</v>
      </c>
      <c r="J16" s="183" t="s">
        <v>89</v>
      </c>
      <c r="K16" s="184">
        <v>1</v>
      </c>
      <c r="L16" s="185"/>
      <c r="M16" s="185"/>
      <c r="N16" s="185"/>
      <c r="O16" s="204"/>
      <c r="P16" s="185"/>
      <c r="Q16" s="186"/>
      <c r="R16" s="186"/>
      <c r="S16" s="187" t="str">
        <f t="shared" si="0"/>
        <v/>
      </c>
      <c r="T16" s="185"/>
    </row>
    <row r="17" spans="2:20" ht="32" x14ac:dyDescent="0.35">
      <c r="B17">
        <v>38</v>
      </c>
      <c r="C17">
        <v>16</v>
      </c>
      <c r="D17" s="180">
        <v>1</v>
      </c>
      <c r="E17" s="182" t="s">
        <v>655</v>
      </c>
      <c r="F17" s="182">
        <v>45449</v>
      </c>
      <c r="G17" s="183" t="s">
        <v>25</v>
      </c>
      <c r="H17" s="183" t="s">
        <v>26</v>
      </c>
      <c r="I17" s="183" t="s">
        <v>31</v>
      </c>
      <c r="J17" s="183" t="s">
        <v>90</v>
      </c>
      <c r="K17" s="184">
        <v>1</v>
      </c>
      <c r="L17" s="185"/>
      <c r="M17" s="185"/>
      <c r="N17" s="185"/>
      <c r="O17" s="204"/>
      <c r="P17" s="185"/>
      <c r="Q17" s="186"/>
      <c r="R17" s="186"/>
      <c r="S17" s="187" t="str">
        <f t="shared" si="0"/>
        <v/>
      </c>
      <c r="T17" s="185"/>
    </row>
    <row r="18" spans="2:20" ht="32" x14ac:dyDescent="0.35">
      <c r="B18">
        <v>39</v>
      </c>
      <c r="C18">
        <v>16</v>
      </c>
      <c r="D18" s="180">
        <v>1</v>
      </c>
      <c r="E18" s="182" t="s">
        <v>655</v>
      </c>
      <c r="F18" s="182">
        <v>45449</v>
      </c>
      <c r="G18" s="183" t="s">
        <v>25</v>
      </c>
      <c r="H18" s="183" t="s">
        <v>26</v>
      </c>
      <c r="I18" s="183" t="s">
        <v>31</v>
      </c>
      <c r="J18" s="183" t="s">
        <v>91</v>
      </c>
      <c r="K18" s="184">
        <v>1</v>
      </c>
      <c r="L18" s="185"/>
      <c r="M18" s="185"/>
      <c r="N18" s="185"/>
      <c r="O18" s="204"/>
      <c r="P18" s="185"/>
      <c r="Q18" s="186"/>
      <c r="R18" s="186"/>
      <c r="S18" s="187" t="str">
        <f t="shared" si="0"/>
        <v/>
      </c>
      <c r="T18" s="185"/>
    </row>
    <row r="19" spans="2:20" ht="32" x14ac:dyDescent="0.35">
      <c r="B19">
        <v>40</v>
      </c>
      <c r="C19">
        <v>16</v>
      </c>
      <c r="D19" s="180">
        <v>1</v>
      </c>
      <c r="E19" s="182" t="s">
        <v>655</v>
      </c>
      <c r="F19" s="182">
        <v>45449</v>
      </c>
      <c r="G19" s="183" t="s">
        <v>25</v>
      </c>
      <c r="H19" s="183" t="s">
        <v>26</v>
      </c>
      <c r="I19" s="183" t="s">
        <v>31</v>
      </c>
      <c r="J19" s="183" t="s">
        <v>92</v>
      </c>
      <c r="K19" s="184">
        <v>1</v>
      </c>
      <c r="L19" s="185"/>
      <c r="M19" s="185"/>
      <c r="N19" s="185"/>
      <c r="O19" s="204"/>
      <c r="P19" s="185"/>
      <c r="Q19" s="186"/>
      <c r="R19" s="186"/>
      <c r="S19" s="187" t="str">
        <f t="shared" si="0"/>
        <v/>
      </c>
      <c r="T19" s="185"/>
    </row>
    <row r="20" spans="2:20" ht="48" x14ac:dyDescent="0.35">
      <c r="B20">
        <v>42</v>
      </c>
      <c r="C20">
        <v>16</v>
      </c>
      <c r="D20" s="180">
        <v>1</v>
      </c>
      <c r="E20" s="182" t="s">
        <v>655</v>
      </c>
      <c r="F20" s="182">
        <v>45449</v>
      </c>
      <c r="G20" s="183" t="s">
        <v>25</v>
      </c>
      <c r="H20" s="183" t="s">
        <v>32</v>
      </c>
      <c r="I20" s="183" t="s">
        <v>33</v>
      </c>
      <c r="J20" s="183" t="s">
        <v>94</v>
      </c>
      <c r="K20" s="184">
        <v>1</v>
      </c>
      <c r="L20" s="185"/>
      <c r="M20" s="185"/>
      <c r="N20" s="185"/>
      <c r="O20" s="204"/>
      <c r="P20" s="185"/>
      <c r="Q20" s="186"/>
      <c r="R20" s="186"/>
      <c r="S20" s="187" t="str">
        <f t="shared" si="0"/>
        <v/>
      </c>
      <c r="T20" s="185"/>
    </row>
    <row r="21" spans="2:20" ht="32" x14ac:dyDescent="0.35">
      <c r="B21">
        <v>43</v>
      </c>
      <c r="C21">
        <v>16</v>
      </c>
      <c r="D21" s="180">
        <v>1</v>
      </c>
      <c r="E21" s="182" t="s">
        <v>655</v>
      </c>
      <c r="F21" s="182">
        <v>45449</v>
      </c>
      <c r="G21" s="183" t="s">
        <v>25</v>
      </c>
      <c r="H21" s="183" t="s">
        <v>32</v>
      </c>
      <c r="I21" s="183" t="s">
        <v>33</v>
      </c>
      <c r="J21" s="183" t="s">
        <v>95</v>
      </c>
      <c r="K21" s="184">
        <v>1</v>
      </c>
      <c r="L21" s="185"/>
      <c r="M21" s="185"/>
      <c r="N21" s="185"/>
      <c r="O21" s="204"/>
      <c r="P21" s="185"/>
      <c r="Q21" s="186"/>
      <c r="R21" s="186"/>
      <c r="S21" s="187" t="str">
        <f t="shared" si="0"/>
        <v/>
      </c>
      <c r="T21" s="185"/>
    </row>
    <row r="22" spans="2:20" ht="32" x14ac:dyDescent="0.35">
      <c r="B22">
        <v>44</v>
      </c>
      <c r="C22">
        <v>16</v>
      </c>
      <c r="D22" s="180">
        <v>1</v>
      </c>
      <c r="E22" s="182" t="s">
        <v>655</v>
      </c>
      <c r="F22" s="182">
        <v>45449</v>
      </c>
      <c r="G22" s="183" t="s">
        <v>25</v>
      </c>
      <c r="H22" s="183" t="s">
        <v>32</v>
      </c>
      <c r="I22" s="183" t="s">
        <v>33</v>
      </c>
      <c r="J22" s="183" t="s">
        <v>114</v>
      </c>
      <c r="K22" s="184">
        <v>1</v>
      </c>
      <c r="L22" s="185"/>
      <c r="M22" s="185"/>
      <c r="N22" s="185"/>
      <c r="O22" s="204"/>
      <c r="P22" s="185"/>
      <c r="Q22" s="186"/>
      <c r="R22" s="186"/>
      <c r="S22" s="187" t="str">
        <f t="shared" si="0"/>
        <v/>
      </c>
      <c r="T22" s="185"/>
    </row>
    <row r="23" spans="2:20" ht="48" x14ac:dyDescent="0.35">
      <c r="B23">
        <v>45</v>
      </c>
      <c r="C23">
        <v>16</v>
      </c>
      <c r="D23" s="180">
        <v>1</v>
      </c>
      <c r="E23" s="182" t="s">
        <v>655</v>
      </c>
      <c r="F23" s="182">
        <v>45449</v>
      </c>
      <c r="G23" s="183" t="s">
        <v>25</v>
      </c>
      <c r="H23" s="183" t="s">
        <v>32</v>
      </c>
      <c r="I23" s="183" t="s">
        <v>34</v>
      </c>
      <c r="J23" s="183" t="s">
        <v>115</v>
      </c>
      <c r="K23" s="184">
        <v>1</v>
      </c>
      <c r="L23" s="185"/>
      <c r="M23" s="185"/>
      <c r="N23" s="185"/>
      <c r="O23" s="204"/>
      <c r="P23" s="185"/>
      <c r="Q23" s="186"/>
      <c r="R23" s="186"/>
      <c r="S23" s="187" t="str">
        <f t="shared" si="0"/>
        <v/>
      </c>
      <c r="T23" s="185"/>
    </row>
    <row r="24" spans="2:20" ht="48" x14ac:dyDescent="0.35">
      <c r="B24">
        <v>46</v>
      </c>
      <c r="C24">
        <v>16</v>
      </c>
      <c r="D24" s="180">
        <v>1</v>
      </c>
      <c r="E24" s="182" t="s">
        <v>655</v>
      </c>
      <c r="F24" s="182">
        <v>45449</v>
      </c>
      <c r="G24" s="183" t="s">
        <v>25</v>
      </c>
      <c r="H24" s="183" t="s">
        <v>32</v>
      </c>
      <c r="I24" s="183" t="s">
        <v>34</v>
      </c>
      <c r="J24" s="183" t="s">
        <v>96</v>
      </c>
      <c r="K24" s="184">
        <v>1</v>
      </c>
      <c r="L24" s="185"/>
      <c r="M24" s="185"/>
      <c r="N24" s="185"/>
      <c r="O24" s="204"/>
      <c r="P24" s="185"/>
      <c r="Q24" s="186"/>
      <c r="R24" s="186"/>
      <c r="S24" s="187" t="str">
        <f t="shared" si="0"/>
        <v/>
      </c>
      <c r="T24" s="185"/>
    </row>
    <row r="25" spans="2:20" ht="32" x14ac:dyDescent="0.35">
      <c r="B25">
        <v>47</v>
      </c>
      <c r="C25">
        <v>16</v>
      </c>
      <c r="D25" s="180">
        <v>1</v>
      </c>
      <c r="E25" s="182" t="s">
        <v>655</v>
      </c>
      <c r="F25" s="182">
        <v>45449</v>
      </c>
      <c r="G25" s="183" t="s">
        <v>25</v>
      </c>
      <c r="H25" s="183" t="s">
        <v>32</v>
      </c>
      <c r="I25" s="183" t="s">
        <v>34</v>
      </c>
      <c r="J25" s="183" t="s">
        <v>97</v>
      </c>
      <c r="K25" s="184">
        <v>1</v>
      </c>
      <c r="L25" s="185"/>
      <c r="M25" s="185"/>
      <c r="N25" s="185"/>
      <c r="O25" s="204"/>
      <c r="P25" s="185"/>
      <c r="Q25" s="186"/>
      <c r="R25" s="186"/>
      <c r="S25" s="187" t="str">
        <f t="shared" si="0"/>
        <v/>
      </c>
      <c r="T25" s="185"/>
    </row>
    <row r="26" spans="2:20" ht="48" x14ac:dyDescent="0.35">
      <c r="B26">
        <v>49</v>
      </c>
      <c r="C26">
        <v>16</v>
      </c>
      <c r="D26" s="180">
        <v>1</v>
      </c>
      <c r="E26" s="182" t="s">
        <v>655</v>
      </c>
      <c r="F26" s="182">
        <v>45449</v>
      </c>
      <c r="G26" s="183" t="s">
        <v>25</v>
      </c>
      <c r="H26" s="183" t="s">
        <v>32</v>
      </c>
      <c r="I26" s="183" t="s">
        <v>34</v>
      </c>
      <c r="J26" s="183" t="s">
        <v>98</v>
      </c>
      <c r="K26" s="184">
        <v>1</v>
      </c>
      <c r="L26" s="185"/>
      <c r="M26" s="185"/>
      <c r="N26" s="185"/>
      <c r="O26" s="204"/>
      <c r="P26" s="185"/>
      <c r="Q26" s="186"/>
      <c r="R26" s="186"/>
      <c r="S26" s="187" t="str">
        <f t="shared" si="0"/>
        <v/>
      </c>
      <c r="T26" s="185"/>
    </row>
    <row r="27" spans="2:20" ht="32" x14ac:dyDescent="0.35">
      <c r="B27">
        <v>51</v>
      </c>
      <c r="C27">
        <v>16</v>
      </c>
      <c r="D27" s="180">
        <v>1</v>
      </c>
      <c r="E27" s="182" t="s">
        <v>655</v>
      </c>
      <c r="F27" s="182">
        <v>45449</v>
      </c>
      <c r="G27" s="183" t="s">
        <v>25</v>
      </c>
      <c r="H27" s="183" t="s">
        <v>35</v>
      </c>
      <c r="I27" s="183" t="s">
        <v>36</v>
      </c>
      <c r="J27" s="183" t="s">
        <v>118</v>
      </c>
      <c r="K27" s="184">
        <v>1</v>
      </c>
      <c r="L27" s="185"/>
      <c r="M27" s="185"/>
      <c r="N27" s="185"/>
      <c r="O27" s="204"/>
      <c r="P27" s="185"/>
      <c r="Q27" s="186"/>
      <c r="R27" s="186"/>
      <c r="S27" s="187" t="str">
        <f t="shared" si="0"/>
        <v/>
      </c>
      <c r="T27" s="185"/>
    </row>
    <row r="28" spans="2:20" ht="32" x14ac:dyDescent="0.35">
      <c r="B28">
        <v>53</v>
      </c>
      <c r="C28">
        <v>16</v>
      </c>
      <c r="D28" s="180">
        <v>1</v>
      </c>
      <c r="E28" s="182" t="s">
        <v>655</v>
      </c>
      <c r="F28" s="182">
        <v>45449</v>
      </c>
      <c r="G28" s="183" t="s">
        <v>38</v>
      </c>
      <c r="H28" s="183" t="s">
        <v>39</v>
      </c>
      <c r="I28" s="183" t="s">
        <v>40</v>
      </c>
      <c r="J28" s="183" t="s">
        <v>119</v>
      </c>
      <c r="K28" s="184">
        <v>1</v>
      </c>
      <c r="L28" s="185"/>
      <c r="M28" s="185"/>
      <c r="N28" s="185"/>
      <c r="O28" s="204"/>
      <c r="P28" s="185"/>
      <c r="Q28" s="186"/>
      <c r="R28" s="186"/>
      <c r="S28" s="187" t="str">
        <f t="shared" si="0"/>
        <v/>
      </c>
      <c r="T28" s="185"/>
    </row>
    <row r="29" spans="2:20" ht="32" x14ac:dyDescent="0.35">
      <c r="B29">
        <v>54</v>
      </c>
      <c r="C29">
        <v>16</v>
      </c>
      <c r="D29" s="180">
        <v>1</v>
      </c>
      <c r="E29" s="182" t="s">
        <v>655</v>
      </c>
      <c r="F29" s="182">
        <v>45449</v>
      </c>
      <c r="G29" s="183" t="s">
        <v>38</v>
      </c>
      <c r="H29" s="183" t="s">
        <v>39</v>
      </c>
      <c r="I29" s="183" t="s">
        <v>40</v>
      </c>
      <c r="J29" s="183" t="s">
        <v>100</v>
      </c>
      <c r="K29" s="184">
        <v>1</v>
      </c>
      <c r="L29" s="185"/>
      <c r="M29" s="185"/>
      <c r="N29" s="185"/>
      <c r="O29" s="204"/>
      <c r="P29" s="185"/>
      <c r="Q29" s="186"/>
      <c r="R29" s="186"/>
      <c r="S29" s="187" t="str">
        <f t="shared" si="0"/>
        <v/>
      </c>
      <c r="T29" s="185"/>
    </row>
    <row r="30" spans="2:20" ht="32" x14ac:dyDescent="0.35">
      <c r="B30">
        <v>55</v>
      </c>
      <c r="C30">
        <v>16</v>
      </c>
      <c r="D30" s="180">
        <v>1</v>
      </c>
      <c r="E30" s="182" t="s">
        <v>655</v>
      </c>
      <c r="F30" s="182">
        <v>45449</v>
      </c>
      <c r="G30" s="183" t="s">
        <v>38</v>
      </c>
      <c r="H30" s="183" t="s">
        <v>39</v>
      </c>
      <c r="I30" s="183" t="s">
        <v>40</v>
      </c>
      <c r="J30" s="183" t="s">
        <v>120</v>
      </c>
      <c r="K30" s="184">
        <v>1</v>
      </c>
      <c r="L30" s="185"/>
      <c r="M30" s="185"/>
      <c r="N30" s="185"/>
      <c r="O30" s="204"/>
      <c r="P30" s="185"/>
      <c r="Q30" s="186"/>
      <c r="R30" s="186"/>
      <c r="S30" s="187" t="str">
        <f t="shared" si="0"/>
        <v/>
      </c>
      <c r="T30" s="185"/>
    </row>
    <row r="31" spans="2:20" ht="32" x14ac:dyDescent="0.35">
      <c r="B31">
        <v>56</v>
      </c>
      <c r="C31">
        <v>16</v>
      </c>
      <c r="D31" s="180">
        <v>1</v>
      </c>
      <c r="E31" s="182" t="s">
        <v>655</v>
      </c>
      <c r="F31" s="182">
        <v>45449</v>
      </c>
      <c r="G31" s="183" t="s">
        <v>38</v>
      </c>
      <c r="H31" s="183" t="s">
        <v>39</v>
      </c>
      <c r="I31" s="183" t="s">
        <v>40</v>
      </c>
      <c r="J31" s="183" t="s">
        <v>121</v>
      </c>
      <c r="K31" s="184">
        <v>1</v>
      </c>
      <c r="L31" s="185"/>
      <c r="M31" s="185"/>
      <c r="N31" s="185"/>
      <c r="O31" s="204"/>
      <c r="P31" s="185"/>
      <c r="Q31" s="186"/>
      <c r="R31" s="186"/>
      <c r="S31" s="187" t="str">
        <f t="shared" si="0"/>
        <v/>
      </c>
      <c r="T31" s="185"/>
    </row>
    <row r="32" spans="2:20" ht="48" x14ac:dyDescent="0.35">
      <c r="B32">
        <v>57</v>
      </c>
      <c r="C32">
        <v>16</v>
      </c>
      <c r="D32" s="180">
        <v>1</v>
      </c>
      <c r="E32" s="182" t="s">
        <v>655</v>
      </c>
      <c r="F32" s="182">
        <v>45449</v>
      </c>
      <c r="G32" s="183" t="s">
        <v>43</v>
      </c>
      <c r="H32" s="183" t="s">
        <v>44</v>
      </c>
      <c r="I32" s="183" t="s">
        <v>42</v>
      </c>
      <c r="J32" s="183" t="s">
        <v>122</v>
      </c>
      <c r="K32" s="184">
        <v>1</v>
      </c>
      <c r="L32" s="185"/>
      <c r="M32" s="185"/>
      <c r="N32" s="185"/>
      <c r="O32" s="204"/>
      <c r="P32" s="185"/>
      <c r="Q32" s="186"/>
      <c r="R32" s="186"/>
      <c r="S32" s="187" t="str">
        <f t="shared" si="0"/>
        <v/>
      </c>
      <c r="T32" s="185"/>
    </row>
    <row r="33" spans="2:20" ht="32" x14ac:dyDescent="0.35">
      <c r="B33">
        <v>58</v>
      </c>
      <c r="C33">
        <v>16</v>
      </c>
      <c r="D33" s="180">
        <v>1</v>
      </c>
      <c r="E33" s="182" t="s">
        <v>655</v>
      </c>
      <c r="F33" s="182">
        <v>45449</v>
      </c>
      <c r="G33" s="183" t="s">
        <v>43</v>
      </c>
      <c r="H33" s="183" t="s">
        <v>44</v>
      </c>
      <c r="I33" s="183" t="s">
        <v>42</v>
      </c>
      <c r="J33" s="183" t="s">
        <v>101</v>
      </c>
      <c r="K33" s="184">
        <v>1</v>
      </c>
      <c r="L33" s="185"/>
      <c r="M33" s="185"/>
      <c r="N33" s="185"/>
      <c r="O33" s="204"/>
      <c r="P33" s="185"/>
      <c r="Q33" s="186"/>
      <c r="R33" s="186"/>
      <c r="S33" s="187" t="str">
        <f t="shared" si="0"/>
        <v/>
      </c>
      <c r="T33" s="185"/>
    </row>
    <row r="34" spans="2:20" ht="48" x14ac:dyDescent="0.35">
      <c r="B34">
        <v>59</v>
      </c>
      <c r="C34">
        <v>16</v>
      </c>
      <c r="D34" s="180">
        <v>1</v>
      </c>
      <c r="E34" s="182" t="s">
        <v>655</v>
      </c>
      <c r="F34" s="182">
        <v>45449</v>
      </c>
      <c r="G34" s="183" t="s">
        <v>43</v>
      </c>
      <c r="H34" s="183" t="s">
        <v>44</v>
      </c>
      <c r="I34" s="183" t="s">
        <v>42</v>
      </c>
      <c r="J34" s="183" t="s">
        <v>102</v>
      </c>
      <c r="K34" s="184">
        <v>1</v>
      </c>
      <c r="L34" s="185"/>
      <c r="M34" s="185"/>
      <c r="N34" s="185"/>
      <c r="O34" s="204"/>
      <c r="P34" s="185"/>
      <c r="Q34" s="186"/>
      <c r="R34" s="186"/>
      <c r="S34" s="187" t="str">
        <f t="shared" si="0"/>
        <v/>
      </c>
      <c r="T34" s="185"/>
    </row>
    <row r="35" spans="2:20" ht="48" x14ac:dyDescent="0.35">
      <c r="B35">
        <v>60</v>
      </c>
      <c r="C35">
        <v>16</v>
      </c>
      <c r="D35" s="180">
        <v>1</v>
      </c>
      <c r="E35" s="182" t="s">
        <v>655</v>
      </c>
      <c r="F35" s="182">
        <v>45449</v>
      </c>
      <c r="G35" s="183" t="s">
        <v>43</v>
      </c>
      <c r="H35" s="183" t="s">
        <v>44</v>
      </c>
      <c r="I35" s="183" t="s">
        <v>42</v>
      </c>
      <c r="J35" s="183" t="s">
        <v>123</v>
      </c>
      <c r="K35" s="184">
        <v>1</v>
      </c>
      <c r="L35" s="185"/>
      <c r="M35" s="185"/>
      <c r="N35" s="185"/>
      <c r="O35" s="204"/>
      <c r="P35" s="185"/>
      <c r="Q35" s="186"/>
      <c r="R35" s="186"/>
      <c r="S35" s="187" t="str">
        <f t="shared" si="0"/>
        <v/>
      </c>
      <c r="T35" s="185"/>
    </row>
  </sheetData>
  <sheetProtection autoFilter="0"/>
  <autoFilter ref="D3:T35">
    <filterColumn colId="0">
      <filters>
        <filter val="1"/>
      </filters>
    </filterColumn>
  </autoFilter>
  <mergeCells count="1">
    <mergeCell ref="E1:G1"/>
  </mergeCells>
  <conditionalFormatting sqref="S4:S35">
    <cfRule type="cellIs" dxfId="8" priority="557" operator="equal">
      <formula>"No Realizada"</formula>
    </cfRule>
    <cfRule type="cellIs" dxfId="7" priority="558" operator="equal">
      <formula>"Realizada"</formula>
    </cfRule>
  </conditionalFormatting>
  <dataValidations count="3">
    <dataValidation type="date" operator="greaterThanOrEqual" allowBlank="1" showInputMessage="1" showErrorMessage="1" errorTitle="FECHA INVÁLIDA" error="Debe registrarse una fecha posterior al 13.Feb.2019, día en que fue expedida la Res 0312 el año 2019" sqref="Q1:Q2 Q4:Q1048576 R1:R1048576">
      <formula1>43509</formula1>
    </dataValidation>
    <dataValidation operator="greaterThanOrEqual" allowBlank="1" showInputMessage="1" showErrorMessage="1" errorTitle="FECHA INVÁLIDA" error="Debe registrarse una fecha posterior al 13.Feb.2019, día en que fue expedida la Res 0312 el año 2019" sqref="Q3"/>
    <dataValidation type="whole" operator="greaterThanOrEqual" allowBlank="1" showInputMessage="1" showErrorMessage="1" sqref="O4:O20">
      <formula1>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CopiarPlanTrabajo">
                <anchor moveWithCells="1" sizeWithCells="1">
                  <from>
                    <xdr:col>11</xdr:col>
                    <xdr:colOff>152400</xdr:colOff>
                    <xdr:row>1</xdr:row>
                    <xdr:rowOff>57150</xdr:rowOff>
                  </from>
                  <to>
                    <xdr:col>11</xdr:col>
                    <xdr:colOff>1574800</xdr:colOff>
                    <xdr:row>1</xdr:row>
                    <xdr:rowOff>457200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dimension ref="A1:E61"/>
  <sheetViews>
    <sheetView workbookViewId="0">
      <selection sqref="A1:E61"/>
    </sheetView>
  </sheetViews>
  <sheetFormatPr baseColWidth="10" defaultRowHeight="14.5" x14ac:dyDescent="0.35"/>
  <cols>
    <col min="1" max="1" width="23" style="2" bestFit="1" customWidth="1"/>
    <col min="2" max="2" width="14.1796875" customWidth="1"/>
    <col min="3" max="3" width="17.453125" customWidth="1"/>
    <col min="4" max="4" width="25.81640625" customWidth="1"/>
  </cols>
  <sheetData>
    <row r="1" spans="1:5" x14ac:dyDescent="0.35">
      <c r="A1" s="55" t="s">
        <v>261</v>
      </c>
      <c r="B1" s="55" t="s">
        <v>265</v>
      </c>
      <c r="C1" t="s">
        <v>266</v>
      </c>
      <c r="D1" t="s">
        <v>575</v>
      </c>
      <c r="E1" t="s">
        <v>576</v>
      </c>
    </row>
    <row r="2" spans="1:5" x14ac:dyDescent="0.35">
      <c r="A2" s="55" t="s">
        <v>594</v>
      </c>
      <c r="B2" s="55" t="s">
        <v>454</v>
      </c>
      <c r="C2" t="s">
        <v>688</v>
      </c>
      <c r="D2" t="s">
        <v>658</v>
      </c>
      <c r="E2" t="s">
        <v>689</v>
      </c>
    </row>
    <row r="3" spans="1:5" x14ac:dyDescent="0.35">
      <c r="A3" s="55" t="s">
        <v>595</v>
      </c>
      <c r="B3" s="55" t="s">
        <v>454</v>
      </c>
      <c r="C3" t="s">
        <v>688</v>
      </c>
      <c r="D3" t="s">
        <v>659</v>
      </c>
      <c r="E3" t="s">
        <v>689</v>
      </c>
    </row>
    <row r="4" spans="1:5" x14ac:dyDescent="0.35">
      <c r="A4" s="55" t="s">
        <v>596</v>
      </c>
      <c r="B4" s="55" t="s">
        <v>454</v>
      </c>
      <c r="C4" t="s">
        <v>688</v>
      </c>
      <c r="D4" t="s">
        <v>660</v>
      </c>
      <c r="E4" t="s">
        <v>689</v>
      </c>
    </row>
    <row r="5" spans="1:5" x14ac:dyDescent="0.35">
      <c r="A5" s="55" t="s">
        <v>597</v>
      </c>
      <c r="B5" s="55" t="s">
        <v>454</v>
      </c>
      <c r="C5" t="s">
        <v>688</v>
      </c>
      <c r="D5" t="s">
        <v>267</v>
      </c>
      <c r="E5" t="s">
        <v>689</v>
      </c>
    </row>
    <row r="6" spans="1:5" x14ac:dyDescent="0.35">
      <c r="A6" s="55" t="s">
        <v>598</v>
      </c>
      <c r="B6" s="55" t="s">
        <v>1</v>
      </c>
      <c r="C6" t="s">
        <v>688</v>
      </c>
      <c r="D6" t="s">
        <v>267</v>
      </c>
      <c r="E6" t="s">
        <v>689</v>
      </c>
    </row>
    <row r="7" spans="1:5" x14ac:dyDescent="0.35">
      <c r="A7" s="55" t="s">
        <v>599</v>
      </c>
      <c r="B7" s="55" t="s">
        <v>454</v>
      </c>
      <c r="C7" t="s">
        <v>688</v>
      </c>
      <c r="D7" t="s">
        <v>661</v>
      </c>
      <c r="E7" t="s">
        <v>689</v>
      </c>
    </row>
    <row r="8" spans="1:5" x14ac:dyDescent="0.35">
      <c r="A8" s="55" t="s">
        <v>600</v>
      </c>
      <c r="B8" s="55" t="s">
        <v>454</v>
      </c>
      <c r="C8" t="s">
        <v>688</v>
      </c>
      <c r="D8" t="s">
        <v>662</v>
      </c>
      <c r="E8" t="s">
        <v>689</v>
      </c>
    </row>
    <row r="9" spans="1:5" x14ac:dyDescent="0.35">
      <c r="A9" s="55" t="s">
        <v>601</v>
      </c>
      <c r="B9" s="55" t="s">
        <v>454</v>
      </c>
      <c r="C9" t="s">
        <v>688</v>
      </c>
      <c r="D9" t="s">
        <v>663</v>
      </c>
      <c r="E9" t="s">
        <v>689</v>
      </c>
    </row>
    <row r="10" spans="1:5" x14ac:dyDescent="0.35">
      <c r="A10" s="55" t="s">
        <v>602</v>
      </c>
      <c r="B10" s="55" t="s">
        <v>454</v>
      </c>
      <c r="C10" t="s">
        <v>688</v>
      </c>
      <c r="D10" t="s">
        <v>664</v>
      </c>
      <c r="E10" t="s">
        <v>689</v>
      </c>
    </row>
    <row r="11" spans="1:5" x14ac:dyDescent="0.35">
      <c r="A11" s="55" t="s">
        <v>603</v>
      </c>
      <c r="B11" s="55" t="s">
        <v>3</v>
      </c>
      <c r="C11" t="s">
        <v>688</v>
      </c>
      <c r="D11" t="s">
        <v>665</v>
      </c>
      <c r="E11" t="s">
        <v>689</v>
      </c>
    </row>
    <row r="12" spans="1:5" x14ac:dyDescent="0.35">
      <c r="A12" s="55" t="s">
        <v>604</v>
      </c>
      <c r="B12" s="55" t="s">
        <v>454</v>
      </c>
      <c r="C12" t="s">
        <v>688</v>
      </c>
      <c r="D12" t="s">
        <v>666</v>
      </c>
      <c r="E12" t="s">
        <v>689</v>
      </c>
    </row>
    <row r="13" spans="1:5" x14ac:dyDescent="0.35">
      <c r="A13" s="55" t="s">
        <v>605</v>
      </c>
      <c r="B13" s="55" t="s">
        <v>454</v>
      </c>
      <c r="C13" t="s">
        <v>688</v>
      </c>
      <c r="D13" t="s">
        <v>667</v>
      </c>
      <c r="E13" t="s">
        <v>689</v>
      </c>
    </row>
    <row r="14" spans="1:5" x14ac:dyDescent="0.35">
      <c r="A14" s="55" t="s">
        <v>606</v>
      </c>
      <c r="B14" s="55" t="s">
        <v>3</v>
      </c>
      <c r="C14" t="s">
        <v>688</v>
      </c>
      <c r="D14" t="s">
        <v>668</v>
      </c>
      <c r="E14" t="s">
        <v>689</v>
      </c>
    </row>
    <row r="15" spans="1:5" x14ac:dyDescent="0.35">
      <c r="A15" s="55" t="s">
        <v>607</v>
      </c>
      <c r="B15" s="55" t="s">
        <v>454</v>
      </c>
      <c r="C15" t="s">
        <v>688</v>
      </c>
      <c r="D15" t="s">
        <v>669</v>
      </c>
      <c r="E15" t="s">
        <v>689</v>
      </c>
    </row>
    <row r="16" spans="1:5" x14ac:dyDescent="0.35">
      <c r="A16" s="55" t="s">
        <v>608</v>
      </c>
      <c r="B16" s="55" t="s">
        <v>454</v>
      </c>
      <c r="C16" t="s">
        <v>688</v>
      </c>
      <c r="D16" t="s">
        <v>670</v>
      </c>
      <c r="E16" t="s">
        <v>689</v>
      </c>
    </row>
    <row r="17" spans="1:5" x14ac:dyDescent="0.35">
      <c r="A17" s="55" t="s">
        <v>609</v>
      </c>
      <c r="B17" s="55" t="s">
        <v>3</v>
      </c>
      <c r="C17" t="s">
        <v>688</v>
      </c>
      <c r="D17" t="s">
        <v>671</v>
      </c>
      <c r="E17" t="s">
        <v>689</v>
      </c>
    </row>
    <row r="18" spans="1:5" x14ac:dyDescent="0.35">
      <c r="A18" s="55" t="s">
        <v>610</v>
      </c>
      <c r="B18" s="55" t="s">
        <v>454</v>
      </c>
      <c r="C18" t="s">
        <v>688</v>
      </c>
      <c r="D18" t="s">
        <v>672</v>
      </c>
      <c r="E18" t="s">
        <v>689</v>
      </c>
    </row>
    <row r="19" spans="1:5" x14ac:dyDescent="0.35">
      <c r="A19" s="55" t="s">
        <v>611</v>
      </c>
      <c r="B19" s="55" t="s">
        <v>3</v>
      </c>
      <c r="C19" t="s">
        <v>688</v>
      </c>
      <c r="D19" t="s">
        <v>267</v>
      </c>
      <c r="E19" t="s">
        <v>689</v>
      </c>
    </row>
    <row r="20" spans="1:5" x14ac:dyDescent="0.35">
      <c r="A20" s="55" t="s">
        <v>612</v>
      </c>
      <c r="B20" s="55" t="s">
        <v>3</v>
      </c>
      <c r="C20" t="s">
        <v>688</v>
      </c>
      <c r="D20" t="s">
        <v>267</v>
      </c>
      <c r="E20" t="s">
        <v>689</v>
      </c>
    </row>
    <row r="21" spans="1:5" x14ac:dyDescent="0.35">
      <c r="A21" s="55" t="s">
        <v>613</v>
      </c>
      <c r="B21" s="55" t="s">
        <v>3</v>
      </c>
      <c r="C21" t="s">
        <v>688</v>
      </c>
      <c r="D21" t="s">
        <v>267</v>
      </c>
      <c r="E21" t="s">
        <v>689</v>
      </c>
    </row>
    <row r="22" spans="1:5" x14ac:dyDescent="0.35">
      <c r="A22" s="55" t="s">
        <v>614</v>
      </c>
      <c r="B22" s="55" t="s">
        <v>454</v>
      </c>
      <c r="C22" t="s">
        <v>688</v>
      </c>
      <c r="D22" t="s">
        <v>673</v>
      </c>
      <c r="E22" t="s">
        <v>689</v>
      </c>
    </row>
    <row r="23" spans="1:5" x14ac:dyDescent="0.35">
      <c r="A23" s="55" t="s">
        <v>615</v>
      </c>
      <c r="B23" s="55" t="s">
        <v>3</v>
      </c>
      <c r="C23" t="s">
        <v>688</v>
      </c>
      <c r="D23" t="s">
        <v>267</v>
      </c>
      <c r="E23" t="s">
        <v>689</v>
      </c>
    </row>
    <row r="24" spans="1:5" x14ac:dyDescent="0.35">
      <c r="A24" s="55" t="s">
        <v>616</v>
      </c>
      <c r="B24" s="55" t="s">
        <v>3</v>
      </c>
      <c r="C24" t="s">
        <v>688</v>
      </c>
      <c r="D24" t="s">
        <v>674</v>
      </c>
      <c r="E24" t="s">
        <v>689</v>
      </c>
    </row>
    <row r="25" spans="1:5" x14ac:dyDescent="0.35">
      <c r="A25" s="55" t="s">
        <v>617</v>
      </c>
      <c r="B25" s="55" t="s">
        <v>454</v>
      </c>
      <c r="C25" t="s">
        <v>688</v>
      </c>
      <c r="D25" t="s">
        <v>675</v>
      </c>
      <c r="E25" t="s">
        <v>689</v>
      </c>
    </row>
    <row r="26" spans="1:5" x14ac:dyDescent="0.35">
      <c r="A26" s="55" t="s">
        <v>618</v>
      </c>
      <c r="B26" s="55" t="s">
        <v>454</v>
      </c>
      <c r="C26" t="s">
        <v>688</v>
      </c>
      <c r="D26" t="s">
        <v>676</v>
      </c>
      <c r="E26" t="s">
        <v>689</v>
      </c>
    </row>
    <row r="27" spans="1:5" x14ac:dyDescent="0.35">
      <c r="A27" s="55" t="s">
        <v>619</v>
      </c>
      <c r="B27" s="55" t="s">
        <v>454</v>
      </c>
      <c r="C27" t="s">
        <v>688</v>
      </c>
      <c r="D27" t="s">
        <v>677</v>
      </c>
      <c r="E27" t="s">
        <v>689</v>
      </c>
    </row>
    <row r="28" spans="1:5" x14ac:dyDescent="0.35">
      <c r="A28" s="55" t="s">
        <v>620</v>
      </c>
      <c r="B28" s="55" t="s">
        <v>454</v>
      </c>
      <c r="C28" t="s">
        <v>688</v>
      </c>
      <c r="D28" t="s">
        <v>267</v>
      </c>
      <c r="E28" t="s">
        <v>689</v>
      </c>
    </row>
    <row r="29" spans="1:5" x14ac:dyDescent="0.35">
      <c r="A29" s="55" t="s">
        <v>621</v>
      </c>
      <c r="B29" s="55" t="s">
        <v>454</v>
      </c>
      <c r="C29" t="s">
        <v>688</v>
      </c>
      <c r="D29" t="s">
        <v>267</v>
      </c>
      <c r="E29" t="s">
        <v>689</v>
      </c>
    </row>
    <row r="30" spans="1:5" x14ac:dyDescent="0.35">
      <c r="A30" s="55" t="s">
        <v>622</v>
      </c>
      <c r="B30" s="55" t="s">
        <v>454</v>
      </c>
      <c r="C30" t="s">
        <v>688</v>
      </c>
      <c r="D30" t="s">
        <v>678</v>
      </c>
      <c r="E30" t="s">
        <v>689</v>
      </c>
    </row>
    <row r="31" spans="1:5" x14ac:dyDescent="0.35">
      <c r="A31" s="55" t="s">
        <v>623</v>
      </c>
      <c r="B31" s="55" t="s">
        <v>454</v>
      </c>
      <c r="C31" t="s">
        <v>688</v>
      </c>
      <c r="D31" t="s">
        <v>267</v>
      </c>
      <c r="E31" t="s">
        <v>689</v>
      </c>
    </row>
    <row r="32" spans="1:5" x14ac:dyDescent="0.35">
      <c r="A32" s="55" t="s">
        <v>624</v>
      </c>
      <c r="B32" s="55" t="s">
        <v>3</v>
      </c>
      <c r="C32" t="s">
        <v>688</v>
      </c>
      <c r="D32" t="s">
        <v>267</v>
      </c>
      <c r="E32" t="s">
        <v>689</v>
      </c>
    </row>
    <row r="33" spans="1:5" x14ac:dyDescent="0.35">
      <c r="A33" s="55" t="s">
        <v>625</v>
      </c>
      <c r="B33" s="55" t="s">
        <v>684</v>
      </c>
      <c r="C33" t="s">
        <v>688</v>
      </c>
      <c r="D33" t="s">
        <v>679</v>
      </c>
      <c r="E33" t="s">
        <v>689</v>
      </c>
    </row>
    <row r="34" spans="1:5" x14ac:dyDescent="0.35">
      <c r="A34" s="55" t="s">
        <v>626</v>
      </c>
      <c r="B34" s="55" t="s">
        <v>454</v>
      </c>
      <c r="C34" t="s">
        <v>688</v>
      </c>
      <c r="D34" t="s">
        <v>267</v>
      </c>
      <c r="E34" t="s">
        <v>689</v>
      </c>
    </row>
    <row r="35" spans="1:5" x14ac:dyDescent="0.35">
      <c r="A35" s="55" t="s">
        <v>627</v>
      </c>
      <c r="B35" s="55" t="s">
        <v>3</v>
      </c>
      <c r="C35" t="s">
        <v>688</v>
      </c>
      <c r="D35" t="s">
        <v>267</v>
      </c>
      <c r="E35" t="s">
        <v>689</v>
      </c>
    </row>
    <row r="36" spans="1:5" x14ac:dyDescent="0.35">
      <c r="A36" s="55" t="s">
        <v>628</v>
      </c>
      <c r="B36" s="55" t="s">
        <v>3</v>
      </c>
      <c r="C36" t="s">
        <v>688</v>
      </c>
      <c r="D36" t="s">
        <v>267</v>
      </c>
      <c r="E36" t="s">
        <v>689</v>
      </c>
    </row>
    <row r="37" spans="1:5" x14ac:dyDescent="0.35">
      <c r="A37" s="55" t="s">
        <v>629</v>
      </c>
      <c r="B37" s="55" t="s">
        <v>3</v>
      </c>
      <c r="C37" t="s">
        <v>688</v>
      </c>
      <c r="D37" t="s">
        <v>267</v>
      </c>
      <c r="E37" t="s">
        <v>689</v>
      </c>
    </row>
    <row r="38" spans="1:5" x14ac:dyDescent="0.35">
      <c r="A38" s="55" t="s">
        <v>630</v>
      </c>
      <c r="B38" s="55" t="s">
        <v>3</v>
      </c>
      <c r="C38" t="s">
        <v>688</v>
      </c>
      <c r="D38" t="s">
        <v>267</v>
      </c>
      <c r="E38" t="s">
        <v>689</v>
      </c>
    </row>
    <row r="39" spans="1:5" x14ac:dyDescent="0.35">
      <c r="A39" s="55" t="s">
        <v>631</v>
      </c>
      <c r="B39" s="55" t="s">
        <v>3</v>
      </c>
      <c r="C39" t="s">
        <v>688</v>
      </c>
      <c r="D39" t="s">
        <v>267</v>
      </c>
      <c r="E39" t="s">
        <v>689</v>
      </c>
    </row>
    <row r="40" spans="1:5" x14ac:dyDescent="0.35">
      <c r="A40" s="55" t="s">
        <v>632</v>
      </c>
      <c r="B40" s="55" t="s">
        <v>3</v>
      </c>
      <c r="C40" t="s">
        <v>688</v>
      </c>
      <c r="D40" t="s">
        <v>267</v>
      </c>
      <c r="E40" t="s">
        <v>689</v>
      </c>
    </row>
    <row r="41" spans="1:5" x14ac:dyDescent="0.35">
      <c r="A41" s="55" t="s">
        <v>633</v>
      </c>
      <c r="B41" s="55" t="s">
        <v>3</v>
      </c>
      <c r="C41" t="s">
        <v>688</v>
      </c>
      <c r="D41" t="s">
        <v>267</v>
      </c>
      <c r="E41" t="s">
        <v>689</v>
      </c>
    </row>
    <row r="42" spans="1:5" x14ac:dyDescent="0.35">
      <c r="A42" s="55" t="s">
        <v>634</v>
      </c>
      <c r="B42" s="55" t="s">
        <v>454</v>
      </c>
      <c r="C42" t="s">
        <v>688</v>
      </c>
      <c r="D42" t="s">
        <v>680</v>
      </c>
      <c r="E42" t="s">
        <v>689</v>
      </c>
    </row>
    <row r="43" spans="1:5" x14ac:dyDescent="0.35">
      <c r="A43" s="55" t="s">
        <v>635</v>
      </c>
      <c r="B43" s="55" t="s">
        <v>3</v>
      </c>
      <c r="C43" t="s">
        <v>688</v>
      </c>
      <c r="D43" t="s">
        <v>267</v>
      </c>
      <c r="E43" t="s">
        <v>689</v>
      </c>
    </row>
    <row r="44" spans="1:5" x14ac:dyDescent="0.35">
      <c r="A44" s="55" t="s">
        <v>636</v>
      </c>
      <c r="B44" s="55" t="s">
        <v>3</v>
      </c>
      <c r="C44" t="s">
        <v>688</v>
      </c>
      <c r="D44" t="s">
        <v>267</v>
      </c>
      <c r="E44" t="s">
        <v>689</v>
      </c>
    </row>
    <row r="45" spans="1:5" x14ac:dyDescent="0.35">
      <c r="A45" s="55" t="s">
        <v>637</v>
      </c>
      <c r="B45" s="55" t="s">
        <v>3</v>
      </c>
      <c r="C45" t="s">
        <v>688</v>
      </c>
      <c r="D45" t="s">
        <v>267</v>
      </c>
      <c r="E45" t="s">
        <v>689</v>
      </c>
    </row>
    <row r="46" spans="1:5" x14ac:dyDescent="0.35">
      <c r="A46" s="55" t="s">
        <v>638</v>
      </c>
      <c r="B46" s="55" t="s">
        <v>3</v>
      </c>
      <c r="C46" t="s">
        <v>688</v>
      </c>
      <c r="D46" t="s">
        <v>267</v>
      </c>
      <c r="E46" t="s">
        <v>689</v>
      </c>
    </row>
    <row r="47" spans="1:5" x14ac:dyDescent="0.35">
      <c r="A47" s="55" t="s">
        <v>639</v>
      </c>
      <c r="B47" s="55" t="s">
        <v>3</v>
      </c>
      <c r="C47" t="s">
        <v>688</v>
      </c>
      <c r="D47" t="s">
        <v>267</v>
      </c>
      <c r="E47" t="s">
        <v>689</v>
      </c>
    </row>
    <row r="48" spans="1:5" x14ac:dyDescent="0.35">
      <c r="A48" s="55" t="s">
        <v>640</v>
      </c>
      <c r="B48" s="55" t="s">
        <v>3</v>
      </c>
      <c r="C48" t="s">
        <v>688</v>
      </c>
      <c r="D48" t="s">
        <v>267</v>
      </c>
      <c r="E48" t="s">
        <v>689</v>
      </c>
    </row>
    <row r="49" spans="1:5" x14ac:dyDescent="0.35">
      <c r="A49" s="55" t="s">
        <v>641</v>
      </c>
      <c r="B49" s="55" t="s">
        <v>454</v>
      </c>
      <c r="C49" t="s">
        <v>688</v>
      </c>
      <c r="D49" t="s">
        <v>681</v>
      </c>
      <c r="E49" t="s">
        <v>689</v>
      </c>
    </row>
    <row r="50" spans="1:5" x14ac:dyDescent="0.35">
      <c r="A50" s="55" t="s">
        <v>642</v>
      </c>
      <c r="B50" s="55" t="s">
        <v>3</v>
      </c>
      <c r="C50" t="s">
        <v>688</v>
      </c>
      <c r="D50" t="s">
        <v>267</v>
      </c>
      <c r="E50" t="s">
        <v>689</v>
      </c>
    </row>
    <row r="51" spans="1:5" x14ac:dyDescent="0.35">
      <c r="A51" s="55" t="s">
        <v>643</v>
      </c>
      <c r="B51" s="55" t="s">
        <v>454</v>
      </c>
      <c r="C51" t="s">
        <v>688</v>
      </c>
      <c r="D51" t="s">
        <v>267</v>
      </c>
      <c r="E51" t="s">
        <v>689</v>
      </c>
    </row>
    <row r="52" spans="1:5" x14ac:dyDescent="0.35">
      <c r="A52" s="55" t="s">
        <v>644</v>
      </c>
      <c r="B52" s="55" t="s">
        <v>3</v>
      </c>
      <c r="C52" t="s">
        <v>688</v>
      </c>
      <c r="D52" t="s">
        <v>267</v>
      </c>
      <c r="E52" t="s">
        <v>689</v>
      </c>
    </row>
    <row r="53" spans="1:5" x14ac:dyDescent="0.35">
      <c r="A53" s="55" t="s">
        <v>645</v>
      </c>
      <c r="B53" s="55" t="s">
        <v>454</v>
      </c>
      <c r="C53" t="s">
        <v>688</v>
      </c>
      <c r="D53" t="s">
        <v>267</v>
      </c>
      <c r="E53" t="s">
        <v>689</v>
      </c>
    </row>
    <row r="54" spans="1:5" x14ac:dyDescent="0.35">
      <c r="A54" s="55" t="s">
        <v>646</v>
      </c>
      <c r="B54" s="55" t="s">
        <v>3</v>
      </c>
      <c r="C54" t="s">
        <v>688</v>
      </c>
      <c r="D54" t="s">
        <v>267</v>
      </c>
      <c r="E54" t="s">
        <v>689</v>
      </c>
    </row>
    <row r="55" spans="1:5" x14ac:dyDescent="0.35">
      <c r="A55" s="55" t="s">
        <v>647</v>
      </c>
      <c r="B55" s="55" t="s">
        <v>3</v>
      </c>
      <c r="C55" t="s">
        <v>688</v>
      </c>
      <c r="D55" t="s">
        <v>267</v>
      </c>
      <c r="E55" t="s">
        <v>689</v>
      </c>
    </row>
    <row r="56" spans="1:5" x14ac:dyDescent="0.35">
      <c r="A56" s="55" t="s">
        <v>648</v>
      </c>
      <c r="B56" s="55" t="s">
        <v>3</v>
      </c>
      <c r="C56" t="s">
        <v>688</v>
      </c>
      <c r="D56" t="s">
        <v>267</v>
      </c>
      <c r="E56" t="s">
        <v>689</v>
      </c>
    </row>
    <row r="57" spans="1:5" x14ac:dyDescent="0.35">
      <c r="A57" s="55" t="s">
        <v>487</v>
      </c>
      <c r="B57" s="55" t="s">
        <v>3</v>
      </c>
      <c r="C57" t="s">
        <v>688</v>
      </c>
      <c r="D57" t="s">
        <v>267</v>
      </c>
      <c r="E57" t="s">
        <v>689</v>
      </c>
    </row>
    <row r="58" spans="1:5" x14ac:dyDescent="0.35">
      <c r="A58" s="55" t="s">
        <v>488</v>
      </c>
      <c r="B58" s="55" t="s">
        <v>3</v>
      </c>
      <c r="C58" t="s">
        <v>688</v>
      </c>
      <c r="D58" t="s">
        <v>267</v>
      </c>
      <c r="E58" t="s">
        <v>689</v>
      </c>
    </row>
    <row r="59" spans="1:5" x14ac:dyDescent="0.35">
      <c r="A59" s="55" t="s">
        <v>489</v>
      </c>
      <c r="B59" s="55" t="s">
        <v>3</v>
      </c>
      <c r="C59" t="s">
        <v>688</v>
      </c>
      <c r="D59" t="s">
        <v>267</v>
      </c>
      <c r="E59" t="s">
        <v>689</v>
      </c>
    </row>
    <row r="60" spans="1:5" x14ac:dyDescent="0.35">
      <c r="A60" s="55" t="s">
        <v>490</v>
      </c>
      <c r="B60" s="55" t="s">
        <v>3</v>
      </c>
      <c r="C60" t="s">
        <v>688</v>
      </c>
      <c r="D60" t="s">
        <v>267</v>
      </c>
      <c r="E60" t="s">
        <v>689</v>
      </c>
    </row>
    <row r="61" spans="1:5" x14ac:dyDescent="0.35">
      <c r="A61" s="55" t="s">
        <v>491</v>
      </c>
      <c r="B61" s="55" t="s">
        <v>3</v>
      </c>
      <c r="C61" t="s">
        <v>688</v>
      </c>
      <c r="D61" t="s">
        <v>267</v>
      </c>
      <c r="E61" t="s">
        <v>689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T33"/>
  <sheetViews>
    <sheetView workbookViewId="0">
      <selection activeCell="A33" sqref="A33"/>
    </sheetView>
  </sheetViews>
  <sheetFormatPr baseColWidth="10" defaultRowHeight="14.5" x14ac:dyDescent="0.35"/>
  <cols>
    <col min="1" max="1" width="11.453125" style="2"/>
    <col min="3" max="3" width="11.453125" style="73"/>
    <col min="13" max="15" width="11.453125" style="73"/>
  </cols>
  <sheetData>
    <row r="1" spans="1:20" x14ac:dyDescent="0.35">
      <c r="A1" s="199" t="s">
        <v>496</v>
      </c>
      <c r="B1" s="200" t="s">
        <v>107</v>
      </c>
      <c r="C1" s="201" t="s">
        <v>438</v>
      </c>
      <c r="D1" s="200" t="s">
        <v>437</v>
      </c>
      <c r="E1" s="200" t="s">
        <v>439</v>
      </c>
      <c r="F1" s="200" t="s">
        <v>440</v>
      </c>
      <c r="G1" s="200" t="s">
        <v>441</v>
      </c>
      <c r="H1" s="200" t="s">
        <v>517</v>
      </c>
      <c r="I1" s="200" t="s">
        <v>586</v>
      </c>
      <c r="J1" s="200" t="s">
        <v>135</v>
      </c>
      <c r="K1" s="200" t="s">
        <v>578</v>
      </c>
      <c r="L1" s="200" t="s">
        <v>579</v>
      </c>
      <c r="M1" s="201" t="s">
        <v>442</v>
      </c>
      <c r="N1" s="201" t="s">
        <v>443</v>
      </c>
      <c r="O1" s="201" t="s">
        <v>444</v>
      </c>
      <c r="P1" s="200" t="s">
        <v>445</v>
      </c>
      <c r="Q1" s="200" t="s">
        <v>577</v>
      </c>
      <c r="R1" s="200"/>
      <c r="S1" s="200"/>
      <c r="T1" s="200"/>
    </row>
    <row r="2" spans="1:20" x14ac:dyDescent="0.35">
      <c r="A2" s="2" t="str">
        <f t="shared" ref="A2:A33" si="0">IF(OR(LEFT(G2,5)="2.10.",LEFT(G2,5)="2.11."),LEFT(G2,5)&amp;"1",LEFT(G2,5))</f>
        <v>1.2.2</v>
      </c>
      <c r="B2" t="s">
        <v>655</v>
      </c>
      <c r="C2" s="73">
        <v>45449</v>
      </c>
      <c r="D2" t="s">
        <v>6</v>
      </c>
      <c r="E2" t="s">
        <v>7</v>
      </c>
      <c r="F2" t="s">
        <v>10</v>
      </c>
      <c r="G2" t="s">
        <v>109</v>
      </c>
      <c r="H2">
        <v>1</v>
      </c>
      <c r="P2" t="s">
        <v>267</v>
      </c>
      <c r="Q2" t="s">
        <v>665</v>
      </c>
    </row>
    <row r="3" spans="1:20" x14ac:dyDescent="0.35">
      <c r="A3" s="2" t="str">
        <f t="shared" si="0"/>
        <v>2.2.1</v>
      </c>
      <c r="B3" t="s">
        <v>655</v>
      </c>
      <c r="C3" s="73">
        <v>45449</v>
      </c>
      <c r="D3" t="s">
        <v>6</v>
      </c>
      <c r="E3" t="s">
        <v>12</v>
      </c>
      <c r="F3" t="s">
        <v>13</v>
      </c>
      <c r="G3" t="s">
        <v>72</v>
      </c>
      <c r="H3">
        <v>1</v>
      </c>
      <c r="P3" t="s">
        <v>267</v>
      </c>
      <c r="Q3" t="s">
        <v>668</v>
      </c>
    </row>
    <row r="4" spans="1:20" x14ac:dyDescent="0.35">
      <c r="A4" s="2" t="str">
        <f t="shared" si="0"/>
        <v>2.5.1</v>
      </c>
      <c r="B4" t="s">
        <v>655</v>
      </c>
      <c r="C4" s="73">
        <v>45449</v>
      </c>
      <c r="D4" t="s">
        <v>6</v>
      </c>
      <c r="E4" t="s">
        <v>12</v>
      </c>
      <c r="F4" t="s">
        <v>17</v>
      </c>
      <c r="G4" t="s">
        <v>74</v>
      </c>
      <c r="H4">
        <v>1</v>
      </c>
      <c r="P4" t="s">
        <v>267</v>
      </c>
      <c r="Q4" t="s">
        <v>671</v>
      </c>
    </row>
    <row r="5" spans="1:20" x14ac:dyDescent="0.35">
      <c r="A5" s="2" t="str">
        <f t="shared" si="0"/>
        <v>2.7.1</v>
      </c>
      <c r="B5" t="s">
        <v>655</v>
      </c>
      <c r="C5" s="73">
        <v>45449</v>
      </c>
      <c r="D5" t="s">
        <v>6</v>
      </c>
      <c r="E5" t="s">
        <v>12</v>
      </c>
      <c r="F5" t="s">
        <v>19</v>
      </c>
      <c r="G5" t="s">
        <v>76</v>
      </c>
      <c r="H5">
        <v>1</v>
      </c>
      <c r="P5" t="s">
        <v>267</v>
      </c>
    </row>
    <row r="6" spans="1:20" x14ac:dyDescent="0.35">
      <c r="A6" s="2" t="str">
        <f t="shared" si="0"/>
        <v>2.8.1</v>
      </c>
      <c r="B6" t="s">
        <v>655</v>
      </c>
      <c r="C6" s="73">
        <v>45449</v>
      </c>
      <c r="D6" t="s">
        <v>6</v>
      </c>
      <c r="E6" t="s">
        <v>12</v>
      </c>
      <c r="F6" t="s">
        <v>20</v>
      </c>
      <c r="G6" t="s">
        <v>77</v>
      </c>
      <c r="H6">
        <v>1</v>
      </c>
      <c r="P6" t="s">
        <v>267</v>
      </c>
    </row>
    <row r="7" spans="1:20" x14ac:dyDescent="0.35">
      <c r="A7" s="2" t="str">
        <f t="shared" si="0"/>
        <v>2.9.1</v>
      </c>
      <c r="B7" t="s">
        <v>655</v>
      </c>
      <c r="C7" s="73">
        <v>45449</v>
      </c>
      <c r="D7" t="s">
        <v>6</v>
      </c>
      <c r="E7" t="s">
        <v>12</v>
      </c>
      <c r="F7" t="s">
        <v>21</v>
      </c>
      <c r="G7" t="s">
        <v>110</v>
      </c>
      <c r="H7">
        <v>1</v>
      </c>
      <c r="P7" t="s">
        <v>267</v>
      </c>
    </row>
    <row r="8" spans="1:20" x14ac:dyDescent="0.35">
      <c r="A8" s="2" t="str">
        <f t="shared" si="0"/>
        <v>2.11.1</v>
      </c>
      <c r="B8" t="s">
        <v>655</v>
      </c>
      <c r="C8" s="73">
        <v>45449</v>
      </c>
      <c r="D8" t="s">
        <v>6</v>
      </c>
      <c r="E8" t="s">
        <v>12</v>
      </c>
      <c r="F8" t="s">
        <v>23</v>
      </c>
      <c r="G8" t="s">
        <v>79</v>
      </c>
      <c r="H8">
        <v>1</v>
      </c>
      <c r="P8" t="s">
        <v>267</v>
      </c>
    </row>
    <row r="9" spans="1:20" x14ac:dyDescent="0.35">
      <c r="A9" s="2" t="str">
        <f t="shared" si="0"/>
        <v>3.1.1</v>
      </c>
      <c r="B9" t="s">
        <v>655</v>
      </c>
      <c r="C9" s="73">
        <v>45449</v>
      </c>
      <c r="D9" t="s">
        <v>25</v>
      </c>
      <c r="E9" t="s">
        <v>26</v>
      </c>
      <c r="F9" t="s">
        <v>27</v>
      </c>
      <c r="G9" t="s">
        <v>111</v>
      </c>
      <c r="H9">
        <v>1</v>
      </c>
      <c r="P9" t="s">
        <v>267</v>
      </c>
      <c r="Q9" t="s">
        <v>674</v>
      </c>
    </row>
    <row r="10" spans="1:20" x14ac:dyDescent="0.35">
      <c r="A10" s="2" t="str">
        <f t="shared" si="0"/>
        <v>3.1.9</v>
      </c>
      <c r="B10" t="s">
        <v>655</v>
      </c>
      <c r="C10" s="73">
        <v>45449</v>
      </c>
      <c r="D10" t="s">
        <v>25</v>
      </c>
      <c r="E10" t="s">
        <v>26</v>
      </c>
      <c r="F10" t="s">
        <v>27</v>
      </c>
      <c r="G10" t="s">
        <v>29</v>
      </c>
      <c r="H10">
        <v>1</v>
      </c>
      <c r="P10" t="s">
        <v>267</v>
      </c>
    </row>
    <row r="11" spans="1:20" x14ac:dyDescent="0.35">
      <c r="A11" s="2" t="str">
        <f t="shared" si="0"/>
        <v>3.2.3</v>
      </c>
      <c r="B11" t="s">
        <v>655</v>
      </c>
      <c r="C11" s="73">
        <v>45449</v>
      </c>
      <c r="D11" t="s">
        <v>25</v>
      </c>
      <c r="E11" t="s">
        <v>26</v>
      </c>
      <c r="F11" t="s">
        <v>30</v>
      </c>
      <c r="G11" t="s">
        <v>113</v>
      </c>
      <c r="H11">
        <v>1</v>
      </c>
      <c r="P11" t="s">
        <v>267</v>
      </c>
    </row>
    <row r="12" spans="1:20" x14ac:dyDescent="0.35">
      <c r="A12" s="2" t="str">
        <f t="shared" si="0"/>
        <v>3.3.1</v>
      </c>
      <c r="B12" t="s">
        <v>655</v>
      </c>
      <c r="C12" s="73">
        <v>45449</v>
      </c>
      <c r="D12" t="s">
        <v>25</v>
      </c>
      <c r="E12" t="s">
        <v>26</v>
      </c>
      <c r="F12" t="s">
        <v>31</v>
      </c>
      <c r="G12" t="s">
        <v>87</v>
      </c>
      <c r="H12">
        <v>1</v>
      </c>
      <c r="P12" t="s">
        <v>267</v>
      </c>
    </row>
    <row r="13" spans="1:20" x14ac:dyDescent="0.35">
      <c r="A13" s="2" t="str">
        <f t="shared" si="0"/>
        <v>3.3.2</v>
      </c>
      <c r="B13" t="s">
        <v>655</v>
      </c>
      <c r="C13" s="73">
        <v>45449</v>
      </c>
      <c r="D13" t="s">
        <v>25</v>
      </c>
      <c r="E13" t="s">
        <v>26</v>
      </c>
      <c r="F13" t="s">
        <v>31</v>
      </c>
      <c r="G13" t="s">
        <v>88</v>
      </c>
      <c r="H13">
        <v>1</v>
      </c>
      <c r="P13" t="s">
        <v>267</v>
      </c>
    </row>
    <row r="14" spans="1:20" x14ac:dyDescent="0.35">
      <c r="A14" s="2" t="str">
        <f t="shared" si="0"/>
        <v>3.3.3</v>
      </c>
      <c r="B14" t="s">
        <v>655</v>
      </c>
      <c r="C14" s="73">
        <v>45449</v>
      </c>
      <c r="D14" t="s">
        <v>25</v>
      </c>
      <c r="E14" t="s">
        <v>26</v>
      </c>
      <c r="F14" t="s">
        <v>31</v>
      </c>
      <c r="G14" t="s">
        <v>89</v>
      </c>
      <c r="H14">
        <v>1</v>
      </c>
      <c r="P14" t="s">
        <v>267</v>
      </c>
    </row>
    <row r="15" spans="1:20" x14ac:dyDescent="0.35">
      <c r="A15" s="2" t="str">
        <f t="shared" si="0"/>
        <v>3.3.4</v>
      </c>
      <c r="B15" t="s">
        <v>655</v>
      </c>
      <c r="C15" s="73">
        <v>45449</v>
      </c>
      <c r="D15" t="s">
        <v>25</v>
      </c>
      <c r="E15" t="s">
        <v>26</v>
      </c>
      <c r="F15" t="s">
        <v>31</v>
      </c>
      <c r="G15" t="s">
        <v>90</v>
      </c>
      <c r="H15">
        <v>1</v>
      </c>
      <c r="P15" t="s">
        <v>267</v>
      </c>
    </row>
    <row r="16" spans="1:20" x14ac:dyDescent="0.35">
      <c r="A16" s="2" t="str">
        <f t="shared" si="0"/>
        <v>3.3.5</v>
      </c>
      <c r="B16" t="s">
        <v>655</v>
      </c>
      <c r="C16" s="73">
        <v>45449</v>
      </c>
      <c r="D16" t="s">
        <v>25</v>
      </c>
      <c r="E16" t="s">
        <v>26</v>
      </c>
      <c r="F16" t="s">
        <v>31</v>
      </c>
      <c r="G16" t="s">
        <v>91</v>
      </c>
      <c r="H16">
        <v>1</v>
      </c>
      <c r="P16" t="s">
        <v>267</v>
      </c>
    </row>
    <row r="17" spans="1:16" x14ac:dyDescent="0.35">
      <c r="A17" s="2" t="str">
        <f t="shared" si="0"/>
        <v>3.3.6</v>
      </c>
      <c r="B17" t="s">
        <v>655</v>
      </c>
      <c r="C17" s="73">
        <v>45449</v>
      </c>
      <c r="D17" t="s">
        <v>25</v>
      </c>
      <c r="E17" t="s">
        <v>26</v>
      </c>
      <c r="F17" t="s">
        <v>31</v>
      </c>
      <c r="G17" t="s">
        <v>92</v>
      </c>
      <c r="H17">
        <v>1</v>
      </c>
      <c r="P17" t="s">
        <v>267</v>
      </c>
    </row>
    <row r="18" spans="1:16" x14ac:dyDescent="0.35">
      <c r="A18" s="2" t="str">
        <f t="shared" si="0"/>
        <v>4.1.2</v>
      </c>
      <c r="B18" t="s">
        <v>655</v>
      </c>
      <c r="C18" s="73">
        <v>45449</v>
      </c>
      <c r="D18" t="s">
        <v>25</v>
      </c>
      <c r="E18" t="s">
        <v>32</v>
      </c>
      <c r="F18" t="s">
        <v>33</v>
      </c>
      <c r="G18" t="s">
        <v>94</v>
      </c>
      <c r="H18">
        <v>1</v>
      </c>
      <c r="P18" t="s">
        <v>267</v>
      </c>
    </row>
    <row r="19" spans="1:16" x14ac:dyDescent="0.35">
      <c r="A19" s="2" t="str">
        <f t="shared" si="0"/>
        <v>4.1.3</v>
      </c>
      <c r="B19" t="s">
        <v>655</v>
      </c>
      <c r="C19" s="73">
        <v>45449</v>
      </c>
      <c r="D19" t="s">
        <v>25</v>
      </c>
      <c r="E19" t="s">
        <v>32</v>
      </c>
      <c r="F19" t="s">
        <v>33</v>
      </c>
      <c r="G19" t="s">
        <v>95</v>
      </c>
      <c r="H19">
        <v>1</v>
      </c>
      <c r="P19" t="s">
        <v>267</v>
      </c>
    </row>
    <row r="20" spans="1:16" x14ac:dyDescent="0.35">
      <c r="A20" s="2" t="str">
        <f t="shared" si="0"/>
        <v>4.1.4</v>
      </c>
      <c r="B20" t="s">
        <v>655</v>
      </c>
      <c r="C20" s="73">
        <v>45449</v>
      </c>
      <c r="D20" t="s">
        <v>25</v>
      </c>
      <c r="E20" t="s">
        <v>32</v>
      </c>
      <c r="F20" t="s">
        <v>33</v>
      </c>
      <c r="G20" t="s">
        <v>114</v>
      </c>
      <c r="H20">
        <v>1</v>
      </c>
      <c r="P20" t="s">
        <v>267</v>
      </c>
    </row>
    <row r="21" spans="1:16" x14ac:dyDescent="0.35">
      <c r="A21" s="2" t="str">
        <f t="shared" si="0"/>
        <v>4.2.1</v>
      </c>
      <c r="B21" t="s">
        <v>655</v>
      </c>
      <c r="C21" s="73">
        <v>45449</v>
      </c>
      <c r="D21" t="s">
        <v>25</v>
      </c>
      <c r="E21" t="s">
        <v>32</v>
      </c>
      <c r="F21" t="s">
        <v>34</v>
      </c>
      <c r="G21" t="s">
        <v>115</v>
      </c>
      <c r="H21">
        <v>1</v>
      </c>
      <c r="P21" t="s">
        <v>267</v>
      </c>
    </row>
    <row r="22" spans="1:16" x14ac:dyDescent="0.35">
      <c r="A22" s="2" t="str">
        <f t="shared" si="0"/>
        <v>4.2.2</v>
      </c>
      <c r="B22" t="s">
        <v>655</v>
      </c>
      <c r="C22" s="73">
        <v>45449</v>
      </c>
      <c r="D22" t="s">
        <v>25</v>
      </c>
      <c r="E22" t="s">
        <v>32</v>
      </c>
      <c r="F22" t="s">
        <v>34</v>
      </c>
      <c r="G22" t="s">
        <v>96</v>
      </c>
      <c r="H22">
        <v>1</v>
      </c>
      <c r="P22" t="s">
        <v>267</v>
      </c>
    </row>
    <row r="23" spans="1:16" x14ac:dyDescent="0.35">
      <c r="A23" s="2" t="str">
        <f t="shared" si="0"/>
        <v>4.2.3</v>
      </c>
      <c r="B23" t="s">
        <v>655</v>
      </c>
      <c r="C23" s="73">
        <v>45449</v>
      </c>
      <c r="D23" t="s">
        <v>25</v>
      </c>
      <c r="E23" t="s">
        <v>32</v>
      </c>
      <c r="F23" t="s">
        <v>34</v>
      </c>
      <c r="G23" t="s">
        <v>97</v>
      </c>
      <c r="H23">
        <v>1</v>
      </c>
      <c r="P23" t="s">
        <v>267</v>
      </c>
    </row>
    <row r="24" spans="1:16" x14ac:dyDescent="0.35">
      <c r="A24" s="2" t="str">
        <f t="shared" si="0"/>
        <v>4.2.5</v>
      </c>
      <c r="B24" t="s">
        <v>655</v>
      </c>
      <c r="C24" s="73">
        <v>45449</v>
      </c>
      <c r="D24" t="s">
        <v>25</v>
      </c>
      <c r="E24" t="s">
        <v>32</v>
      </c>
      <c r="F24" t="s">
        <v>34</v>
      </c>
      <c r="G24" t="s">
        <v>98</v>
      </c>
      <c r="H24">
        <v>1</v>
      </c>
      <c r="P24" t="s">
        <v>267</v>
      </c>
    </row>
    <row r="25" spans="1:16" x14ac:dyDescent="0.35">
      <c r="A25" s="2" t="str">
        <f t="shared" si="0"/>
        <v>5.1.1</v>
      </c>
      <c r="B25" t="s">
        <v>655</v>
      </c>
      <c r="C25" s="73">
        <v>45449</v>
      </c>
      <c r="D25" t="s">
        <v>25</v>
      </c>
      <c r="E25" t="s">
        <v>35</v>
      </c>
      <c r="F25" t="s">
        <v>36</v>
      </c>
      <c r="G25" t="s">
        <v>118</v>
      </c>
      <c r="H25">
        <v>1</v>
      </c>
      <c r="P25" t="s">
        <v>267</v>
      </c>
    </row>
    <row r="26" spans="1:16" x14ac:dyDescent="0.35">
      <c r="A26" s="2" t="str">
        <f t="shared" si="0"/>
        <v>6.1.1</v>
      </c>
      <c r="B26" t="s">
        <v>655</v>
      </c>
      <c r="C26" s="73">
        <v>45449</v>
      </c>
      <c r="D26" t="s">
        <v>38</v>
      </c>
      <c r="E26" t="s">
        <v>39</v>
      </c>
      <c r="F26" t="s">
        <v>40</v>
      </c>
      <c r="G26" t="s">
        <v>119</v>
      </c>
      <c r="H26">
        <v>1</v>
      </c>
      <c r="P26" t="s">
        <v>267</v>
      </c>
    </row>
    <row r="27" spans="1:16" x14ac:dyDescent="0.35">
      <c r="A27" s="2" t="str">
        <f t="shared" si="0"/>
        <v>6.1.2</v>
      </c>
      <c r="B27" t="s">
        <v>655</v>
      </c>
      <c r="C27" s="73">
        <v>45449</v>
      </c>
      <c r="D27" t="s">
        <v>38</v>
      </c>
      <c r="E27" t="s">
        <v>39</v>
      </c>
      <c r="F27" t="s">
        <v>40</v>
      </c>
      <c r="G27" t="s">
        <v>100</v>
      </c>
      <c r="H27">
        <v>1</v>
      </c>
      <c r="P27" t="s">
        <v>267</v>
      </c>
    </row>
    <row r="28" spans="1:16" x14ac:dyDescent="0.35">
      <c r="A28" s="2" t="str">
        <f t="shared" si="0"/>
        <v>6.1.3</v>
      </c>
      <c r="B28" t="s">
        <v>655</v>
      </c>
      <c r="C28" s="73">
        <v>45449</v>
      </c>
      <c r="D28" t="s">
        <v>38</v>
      </c>
      <c r="E28" t="s">
        <v>39</v>
      </c>
      <c r="F28" t="s">
        <v>40</v>
      </c>
      <c r="G28" t="s">
        <v>120</v>
      </c>
      <c r="H28">
        <v>1</v>
      </c>
      <c r="P28" t="s">
        <v>267</v>
      </c>
    </row>
    <row r="29" spans="1:16" x14ac:dyDescent="0.35">
      <c r="A29" s="2" t="str">
        <f t="shared" si="0"/>
        <v>6.1.4</v>
      </c>
      <c r="B29" t="s">
        <v>655</v>
      </c>
      <c r="C29" s="73">
        <v>45449</v>
      </c>
      <c r="D29" t="s">
        <v>38</v>
      </c>
      <c r="E29" t="s">
        <v>39</v>
      </c>
      <c r="F29" t="s">
        <v>40</v>
      </c>
      <c r="G29" t="s">
        <v>121</v>
      </c>
      <c r="H29">
        <v>1</v>
      </c>
      <c r="P29" t="s">
        <v>267</v>
      </c>
    </row>
    <row r="30" spans="1:16" x14ac:dyDescent="0.35">
      <c r="A30" s="2" t="str">
        <f t="shared" si="0"/>
        <v>7.1.1</v>
      </c>
      <c r="B30" t="s">
        <v>655</v>
      </c>
      <c r="C30" s="73">
        <v>45449</v>
      </c>
      <c r="D30" t="s">
        <v>43</v>
      </c>
      <c r="E30" t="s">
        <v>44</v>
      </c>
      <c r="F30" t="s">
        <v>42</v>
      </c>
      <c r="G30" t="s">
        <v>122</v>
      </c>
      <c r="H30">
        <v>1</v>
      </c>
      <c r="P30" t="s">
        <v>267</v>
      </c>
    </row>
    <row r="31" spans="1:16" x14ac:dyDescent="0.35">
      <c r="A31" s="2" t="str">
        <f t="shared" si="0"/>
        <v>7.1.2</v>
      </c>
      <c r="B31" t="s">
        <v>655</v>
      </c>
      <c r="C31" s="73">
        <v>45449</v>
      </c>
      <c r="D31" t="s">
        <v>43</v>
      </c>
      <c r="E31" t="s">
        <v>44</v>
      </c>
      <c r="F31" t="s">
        <v>42</v>
      </c>
      <c r="G31" t="s">
        <v>101</v>
      </c>
      <c r="H31">
        <v>1</v>
      </c>
      <c r="P31" t="s">
        <v>267</v>
      </c>
    </row>
    <row r="32" spans="1:16" x14ac:dyDescent="0.35">
      <c r="A32" s="2" t="str">
        <f t="shared" si="0"/>
        <v>7.1.3</v>
      </c>
      <c r="B32" t="s">
        <v>655</v>
      </c>
      <c r="C32" s="73">
        <v>45449</v>
      </c>
      <c r="D32" t="s">
        <v>43</v>
      </c>
      <c r="E32" t="s">
        <v>44</v>
      </c>
      <c r="F32" t="s">
        <v>42</v>
      </c>
      <c r="G32" t="s">
        <v>102</v>
      </c>
      <c r="H32">
        <v>1</v>
      </c>
      <c r="P32" t="s">
        <v>267</v>
      </c>
    </row>
    <row r="33" spans="1:16" x14ac:dyDescent="0.35">
      <c r="A33" s="2" t="str">
        <f t="shared" si="0"/>
        <v>7.1.4</v>
      </c>
      <c r="B33" t="s">
        <v>655</v>
      </c>
      <c r="C33" s="73">
        <v>45449</v>
      </c>
      <c r="D33" t="s">
        <v>43</v>
      </c>
      <c r="E33" t="s">
        <v>44</v>
      </c>
      <c r="F33" t="s">
        <v>42</v>
      </c>
      <c r="G33" t="s">
        <v>123</v>
      </c>
      <c r="H33">
        <v>1</v>
      </c>
      <c r="P33" t="s">
        <v>267</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pageSetUpPr fitToPage="1"/>
  </sheetPr>
  <dimension ref="B1:U28"/>
  <sheetViews>
    <sheetView showGridLines="0" showRowColHeaders="0" zoomScaleNormal="100" workbookViewId="0">
      <selection activeCell="AA4" sqref="AA4"/>
    </sheetView>
  </sheetViews>
  <sheetFormatPr baseColWidth="10" defaultRowHeight="14.5" x14ac:dyDescent="0.35"/>
  <cols>
    <col min="1" max="1" width="5.26953125" customWidth="1"/>
    <col min="2" max="2" width="33.7265625" bestFit="1" customWidth="1"/>
    <col min="6" max="6" width="2.26953125" customWidth="1"/>
    <col min="14" max="26" width="0" hidden="1" customWidth="1"/>
  </cols>
  <sheetData>
    <row r="1" spans="2:21" ht="47.25" customHeight="1" x14ac:dyDescent="0.35"/>
    <row r="2" spans="2:21" x14ac:dyDescent="0.35">
      <c r="B2" s="107" t="s">
        <v>107</v>
      </c>
      <c r="C2" s="300" t="str">
        <f>U2</f>
        <v>Empresa de colombia</v>
      </c>
      <c r="D2" s="301"/>
      <c r="E2" s="302"/>
      <c r="U2" s="103" t="s">
        <v>654</v>
      </c>
    </row>
    <row r="3" spans="2:21" x14ac:dyDescent="0.35">
      <c r="B3" s="107" t="s">
        <v>2</v>
      </c>
      <c r="C3" s="303">
        <f>U3</f>
        <v>44813</v>
      </c>
      <c r="D3" s="304"/>
      <c r="E3" s="305"/>
      <c r="U3" s="104">
        <v>44813</v>
      </c>
    </row>
    <row r="4" spans="2:21" x14ac:dyDescent="0.35">
      <c r="B4" s="107" t="s">
        <v>262</v>
      </c>
      <c r="C4" s="108" t="s">
        <v>275</v>
      </c>
      <c r="D4" s="108" t="s">
        <v>451</v>
      </c>
      <c r="E4" s="108" t="s">
        <v>452</v>
      </c>
    </row>
    <row r="5" spans="2:21" x14ac:dyDescent="0.35">
      <c r="B5" s="5" t="s">
        <v>7</v>
      </c>
      <c r="C5" s="111">
        <f>SUMIFS(RegEv!I:I,RegEv!B:B,Info1!$C$2,RegEv!C:C,Info1!$C$3,RegEv!E:E,Info1!B5)</f>
        <v>0</v>
      </c>
      <c r="D5" s="54">
        <v>11</v>
      </c>
      <c r="E5" s="112">
        <f>C5/D5</f>
        <v>0</v>
      </c>
    </row>
    <row r="6" spans="2:21" x14ac:dyDescent="0.35">
      <c r="B6" s="5" t="s">
        <v>12</v>
      </c>
      <c r="C6" s="111">
        <f>SUMIFS(RegEv!I:I,RegEv!B:B,Info1!$C$2,RegEv!C:C,Info1!$C$3,RegEv!E:E,Info1!B6)</f>
        <v>0</v>
      </c>
      <c r="D6" s="54">
        <v>14</v>
      </c>
      <c r="E6" s="112">
        <f t="shared" ref="E6:E12" si="0">C6/D6</f>
        <v>0</v>
      </c>
    </row>
    <row r="7" spans="2:21" x14ac:dyDescent="0.35">
      <c r="B7" s="5" t="s">
        <v>26</v>
      </c>
      <c r="C7" s="111">
        <f>SUMIFS(RegEv!I:I,RegEv!B:B,Info1!$C$2,RegEv!C:C,Info1!$C$3,RegEv!E:E,Info1!B7)</f>
        <v>0</v>
      </c>
      <c r="D7" s="54">
        <v>20</v>
      </c>
      <c r="E7" s="112">
        <f t="shared" si="0"/>
        <v>0</v>
      </c>
    </row>
    <row r="8" spans="2:21" x14ac:dyDescent="0.35">
      <c r="B8" s="5" t="s">
        <v>32</v>
      </c>
      <c r="C8" s="111">
        <f>SUMIFS(RegEv!I:I,RegEv!B:B,Info1!$C$2,RegEv!C:C,Info1!$C$3,RegEv!E:E,Info1!B8)</f>
        <v>0</v>
      </c>
      <c r="D8" s="54">
        <v>30</v>
      </c>
      <c r="E8" s="112">
        <f t="shared" si="0"/>
        <v>0</v>
      </c>
    </row>
    <row r="9" spans="2:21" x14ac:dyDescent="0.35">
      <c r="B9" s="5" t="s">
        <v>35</v>
      </c>
      <c r="C9" s="111">
        <f>SUMIFS(RegEv!I:I,RegEv!B:B,Info1!$C$2,RegEv!C:C,Info1!$C$3,RegEv!E:E,Info1!B9)</f>
        <v>0</v>
      </c>
      <c r="D9" s="54">
        <v>10</v>
      </c>
      <c r="E9" s="112">
        <f t="shared" si="0"/>
        <v>0</v>
      </c>
    </row>
    <row r="10" spans="2:21" x14ac:dyDescent="0.35">
      <c r="B10" s="5" t="s">
        <v>39</v>
      </c>
      <c r="C10" s="111">
        <f>SUMIFS(RegEv!I:I,RegEv!B:B,Info1!$C$2,RegEv!C:C,Info1!$C$3,RegEv!E:E,Info1!B10)</f>
        <v>0</v>
      </c>
      <c r="D10" s="54">
        <v>5</v>
      </c>
      <c r="E10" s="112">
        <f t="shared" si="0"/>
        <v>0</v>
      </c>
    </row>
    <row r="11" spans="2:21" x14ac:dyDescent="0.35">
      <c r="B11" s="5" t="s">
        <v>44</v>
      </c>
      <c r="C11" s="111">
        <f>SUMIFS(RegEv!I:I,RegEv!B:B,Info1!$C$2,RegEv!C:C,Info1!$C$3,RegEv!E:E,Info1!B11)</f>
        <v>0</v>
      </c>
      <c r="D11" s="54">
        <v>10</v>
      </c>
      <c r="E11" s="112">
        <f t="shared" si="0"/>
        <v>0</v>
      </c>
    </row>
    <row r="12" spans="2:21" ht="15.5" x14ac:dyDescent="0.35">
      <c r="B12" s="110" t="s">
        <v>450</v>
      </c>
      <c r="C12" s="113">
        <f>SUM(C5:C11)</f>
        <v>0</v>
      </c>
      <c r="D12" s="113">
        <v>100</v>
      </c>
      <c r="E12" s="114">
        <f t="shared" si="0"/>
        <v>0</v>
      </c>
    </row>
    <row r="17" spans="2:5" x14ac:dyDescent="0.35">
      <c r="B17" s="109" t="s">
        <v>0</v>
      </c>
      <c r="C17" s="109" t="s">
        <v>275</v>
      </c>
      <c r="D17" s="109" t="s">
        <v>451</v>
      </c>
      <c r="E17" s="109" t="s">
        <v>452</v>
      </c>
    </row>
    <row r="18" spans="2:5" x14ac:dyDescent="0.35">
      <c r="B18" s="5" t="s">
        <v>6</v>
      </c>
      <c r="C18" s="105">
        <f>SUMIFS(RegEv!I:I,RegEv!B:B,Info1!$C$2,RegEv!C:C,Info1!$C$3,RegEv!D:D,Info1!B18)</f>
        <v>0</v>
      </c>
      <c r="D18" s="5">
        <v>25</v>
      </c>
      <c r="E18" s="106">
        <f>C18/D18</f>
        <v>0</v>
      </c>
    </row>
    <row r="19" spans="2:5" x14ac:dyDescent="0.35">
      <c r="B19" s="5" t="s">
        <v>25</v>
      </c>
      <c r="C19" s="105">
        <f>SUMIFS(RegEv!I:I,RegEv!B:B,Info1!$C$2,RegEv!C:C,Info1!$C$3,RegEv!D:D,Info1!B19)</f>
        <v>0</v>
      </c>
      <c r="D19" s="5">
        <v>60</v>
      </c>
      <c r="E19" s="106">
        <f t="shared" ref="E19:E21" si="1">C19/D19</f>
        <v>0</v>
      </c>
    </row>
    <row r="20" spans="2:5" x14ac:dyDescent="0.35">
      <c r="B20" s="5" t="s">
        <v>38</v>
      </c>
      <c r="C20" s="105">
        <f>SUMIFS(RegEv!I:I,RegEv!B:B,Info1!$C$2,RegEv!C:C,Info1!$C$3,RegEv!D:D,Info1!B20)</f>
        <v>0</v>
      </c>
      <c r="D20" s="5">
        <v>5</v>
      </c>
      <c r="E20" s="106">
        <f t="shared" si="1"/>
        <v>0</v>
      </c>
    </row>
    <row r="21" spans="2:5" x14ac:dyDescent="0.35">
      <c r="B21" s="5" t="s">
        <v>43</v>
      </c>
      <c r="C21" s="105">
        <f>SUMIFS(RegEv!I:I,RegEv!B:B,Info1!$C$2,RegEv!C:C,Info1!$C$3,RegEv!D:D,Info1!B21)</f>
        <v>0</v>
      </c>
      <c r="D21" s="5">
        <v>10</v>
      </c>
      <c r="E21" s="106">
        <f t="shared" si="1"/>
        <v>0</v>
      </c>
    </row>
    <row r="24" spans="2:5" ht="43.5" x14ac:dyDescent="0.35">
      <c r="B24" s="109" t="s">
        <v>583</v>
      </c>
      <c r="C24" s="109" t="s">
        <v>582</v>
      </c>
      <c r="D24" s="109" t="s">
        <v>538</v>
      </c>
      <c r="E24" s="119" t="s">
        <v>574</v>
      </c>
    </row>
    <row r="25" spans="2:5" x14ac:dyDescent="0.35">
      <c r="B25" s="54" t="s">
        <v>454</v>
      </c>
      <c r="C25" s="115">
        <f>COUNTIFS(RegEv!B:B,Info1!$C$2,RegEv!C:C,Info1!$C$3,RegEv!H:H,"Si")</f>
        <v>0</v>
      </c>
      <c r="D25" s="161">
        <f>SUMIFS(RegEmp!P:P,RegEmp!A:A,C3,RegEmp!B:B,C2)</f>
        <v>0</v>
      </c>
      <c r="E25" s="306" t="e">
        <f>D25/(D25+D26)</f>
        <v>#DIV/0!</v>
      </c>
    </row>
    <row r="26" spans="2:5" x14ac:dyDescent="0.35">
      <c r="B26" s="54" t="s">
        <v>3</v>
      </c>
      <c r="C26" s="115">
        <f>COUNTIFS(RegEv!B:B,Info1!$C$2,RegEv!C:C,Info1!$C$3,RegEv!H:H,"No")</f>
        <v>0</v>
      </c>
      <c r="D26" s="161">
        <f>SUMIFS(RegEmp!O:O,RegEmp!A:A,C3,RegEmp!B:B,C2)-D25</f>
        <v>0</v>
      </c>
      <c r="E26" s="306"/>
    </row>
    <row r="27" spans="2:5" x14ac:dyDescent="0.35">
      <c r="B27" s="54" t="s">
        <v>573</v>
      </c>
      <c r="C27" s="115">
        <f>C26+C25</f>
        <v>0</v>
      </c>
      <c r="D27" s="111">
        <f>D26+D25</f>
        <v>0</v>
      </c>
      <c r="E27" s="306"/>
    </row>
    <row r="28" spans="2:5" x14ac:dyDescent="0.35">
      <c r="B28" s="54" t="s">
        <v>1</v>
      </c>
      <c r="C28" s="115">
        <f>COUNTIFS(RegEv!B:B,Info1!$C$2,RegEv!C:C,Info1!$C$3,RegEv!H:H,"No aplica")</f>
        <v>0</v>
      </c>
      <c r="D28" s="161">
        <f>100-(D26+D25)</f>
        <v>100</v>
      </c>
    </row>
  </sheetData>
  <sheetProtection password="CDD8" sheet="1" objects="1" scenarios="1"/>
  <mergeCells count="3">
    <mergeCell ref="C2:E2"/>
    <mergeCell ref="C3:E3"/>
    <mergeCell ref="E25:E27"/>
  </mergeCells>
  <pageMargins left="0.7" right="0.7" top="0.75" bottom="0.75" header="0.3" footer="0.3"/>
  <pageSetup scale="78" orientation="landscape"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3"/>
  <dimension ref="B1:AC25"/>
  <sheetViews>
    <sheetView showGridLines="0" showRowColHeaders="0" zoomScale="80" zoomScaleNormal="80" workbookViewId="0">
      <selection activeCell="B4" sqref="B4"/>
    </sheetView>
  </sheetViews>
  <sheetFormatPr baseColWidth="10" defaultRowHeight="14.5" x14ac:dyDescent="0.35"/>
  <cols>
    <col min="1" max="1" width="5.26953125" customWidth="1"/>
    <col min="2" max="2" width="36.7265625" customWidth="1"/>
    <col min="3" max="7" width="25.7265625" customWidth="1"/>
    <col min="8" max="8" width="14.453125" customWidth="1"/>
    <col min="9" max="13" width="20.54296875" customWidth="1"/>
    <col min="15" max="33" width="0" hidden="1" customWidth="1"/>
  </cols>
  <sheetData>
    <row r="1" spans="2:29" ht="47.25" customHeight="1" x14ac:dyDescent="0.35"/>
    <row r="2" spans="2:29" ht="32.25" customHeight="1" x14ac:dyDescent="0.35">
      <c r="B2" s="107" t="s">
        <v>107</v>
      </c>
      <c r="C2" s="119" t="str">
        <f>IF(Y2="","",Y2)</f>
        <v>PRUEBAS CARGUE PA 01</v>
      </c>
      <c r="D2" s="119" t="str">
        <f t="shared" ref="D2:G3" si="0">IF(Z2="","",Z2)</f>
        <v>PRUEBAS 02</v>
      </c>
      <c r="E2" s="119" t="str">
        <f t="shared" si="0"/>
        <v/>
      </c>
      <c r="F2" s="119" t="str">
        <f t="shared" si="0"/>
        <v/>
      </c>
      <c r="G2" s="119" t="str">
        <f t="shared" si="0"/>
        <v/>
      </c>
      <c r="H2" s="307" t="s">
        <v>451</v>
      </c>
      <c r="I2" s="109" t="str">
        <f t="shared" ref="I2:M3" si="1">C2</f>
        <v>PRUEBAS CARGUE PA 01</v>
      </c>
      <c r="J2" s="109" t="str">
        <f t="shared" si="1"/>
        <v>PRUEBAS 02</v>
      </c>
      <c r="K2" s="109" t="str">
        <f t="shared" si="1"/>
        <v/>
      </c>
      <c r="L2" s="109" t="str">
        <f t="shared" si="1"/>
        <v/>
      </c>
      <c r="M2" s="109" t="str">
        <f t="shared" si="1"/>
        <v/>
      </c>
      <c r="Y2" s="103" t="s">
        <v>651</v>
      </c>
      <c r="Z2" s="103" t="s">
        <v>652</v>
      </c>
      <c r="AA2" s="103"/>
      <c r="AB2" s="103"/>
      <c r="AC2" s="103"/>
    </row>
    <row r="3" spans="2:29" ht="18.75" customHeight="1" x14ac:dyDescent="0.35">
      <c r="B3" s="107" t="s">
        <v>2</v>
      </c>
      <c r="C3" s="118">
        <f>IF(Y3="","",Y3)</f>
        <v>43936</v>
      </c>
      <c r="D3" s="118">
        <f t="shared" si="0"/>
        <v>43931</v>
      </c>
      <c r="E3" s="118" t="str">
        <f t="shared" si="0"/>
        <v/>
      </c>
      <c r="F3" s="118" t="str">
        <f t="shared" si="0"/>
        <v/>
      </c>
      <c r="G3" s="118" t="str">
        <f t="shared" si="0"/>
        <v/>
      </c>
      <c r="H3" s="307"/>
      <c r="I3" s="117">
        <f t="shared" si="1"/>
        <v>43936</v>
      </c>
      <c r="J3" s="117">
        <f t="shared" si="1"/>
        <v>43931</v>
      </c>
      <c r="K3" s="117" t="str">
        <f t="shared" si="1"/>
        <v/>
      </c>
      <c r="L3" s="117" t="str">
        <f t="shared" si="1"/>
        <v/>
      </c>
      <c r="M3" s="117" t="str">
        <f t="shared" si="1"/>
        <v/>
      </c>
      <c r="Y3" s="104">
        <v>43936</v>
      </c>
      <c r="Z3" s="104">
        <v>43931</v>
      </c>
      <c r="AA3" s="104"/>
      <c r="AB3" s="104"/>
      <c r="AC3" s="104"/>
    </row>
    <row r="4" spans="2:29" x14ac:dyDescent="0.35">
      <c r="B4" s="107" t="s">
        <v>262</v>
      </c>
      <c r="C4" s="127" t="s">
        <v>503</v>
      </c>
      <c r="D4" s="125" t="s">
        <v>504</v>
      </c>
      <c r="E4" s="125" t="s">
        <v>505</v>
      </c>
      <c r="F4" s="125" t="s">
        <v>506</v>
      </c>
      <c r="G4" s="126" t="s">
        <v>507</v>
      </c>
      <c r="H4" s="307"/>
      <c r="I4" s="124" t="s">
        <v>498</v>
      </c>
      <c r="J4" s="125" t="s">
        <v>499</v>
      </c>
      <c r="K4" s="125" t="s">
        <v>500</v>
      </c>
      <c r="L4" s="125" t="s">
        <v>501</v>
      </c>
      <c r="M4" s="126" t="s">
        <v>502</v>
      </c>
    </row>
    <row r="5" spans="2:29" x14ac:dyDescent="0.35">
      <c r="B5" s="5" t="s">
        <v>7</v>
      </c>
      <c r="C5" s="111">
        <f>SUMIFS(RegEv!$I:$I,RegEv!$B:$B,Info2!C$2,RegEv!$C:$C,Info2!C$3,RegEv!$E:$E,Info2!$B5)</f>
        <v>0</v>
      </c>
      <c r="D5" s="111">
        <f>SUMIFS(RegEv!$I:$I,RegEv!$B:$B,Info2!D$2,RegEv!$C:$C,Info2!D$3,RegEv!$E:$E,Info2!$B5)</f>
        <v>0</v>
      </c>
      <c r="E5" s="111">
        <f>SUMIFS(RegEv!$I:$I,RegEv!$B:$B,Info2!E$2,RegEv!$C:$C,Info2!E$3,RegEv!$E:$E,Info2!$B5)</f>
        <v>0</v>
      </c>
      <c r="F5" s="111">
        <f>SUMIFS(RegEv!$I:$I,RegEv!$B:$B,Info2!F$2,RegEv!$C:$C,Info2!F$3,RegEv!$E:$E,Info2!$B5)</f>
        <v>0</v>
      </c>
      <c r="G5" s="111">
        <f>SUMIFS(RegEv!$I:$I,RegEv!$B:$B,Info2!G$2,RegEv!$C:$C,Info2!G$3,RegEv!$E:$E,Info2!$B5)</f>
        <v>0</v>
      </c>
      <c r="H5" s="54">
        <v>11</v>
      </c>
      <c r="I5" s="112">
        <f>C5/$H5</f>
        <v>0</v>
      </c>
      <c r="J5" s="112">
        <f>D5/$H5</f>
        <v>0</v>
      </c>
      <c r="K5" s="112">
        <f>E5/$H5</f>
        <v>0</v>
      </c>
      <c r="L5" s="112">
        <f>F5/$H5</f>
        <v>0</v>
      </c>
      <c r="M5" s="112">
        <f>G5/$H5</f>
        <v>0</v>
      </c>
    </row>
    <row r="6" spans="2:29" x14ac:dyDescent="0.35">
      <c r="B6" s="5" t="s">
        <v>12</v>
      </c>
      <c r="C6" s="111">
        <f>SUMIFS(RegEv!$I:$I,RegEv!$B:$B,Info2!C$2,RegEv!$C:$C,Info2!C$3,RegEv!$E:$E,Info2!$B6)</f>
        <v>0</v>
      </c>
      <c r="D6" s="111">
        <f>SUMIFS(RegEv!$I:$I,RegEv!$B:$B,Info2!D$2,RegEv!$C:$C,Info2!D$3,RegEv!$E:$E,Info2!$B6)</f>
        <v>0</v>
      </c>
      <c r="E6" s="111">
        <f>SUMIFS(RegEv!$I:$I,RegEv!$B:$B,Info2!E$2,RegEv!$C:$C,Info2!E$3,RegEv!$E:$E,Info2!$B6)</f>
        <v>0</v>
      </c>
      <c r="F6" s="111">
        <f>SUMIFS(RegEv!$I:$I,RegEv!$B:$B,Info2!F$2,RegEv!$C:$C,Info2!F$3,RegEv!$E:$E,Info2!$B6)</f>
        <v>0</v>
      </c>
      <c r="G6" s="111">
        <f>SUMIFS(RegEv!$I:$I,RegEv!$B:$B,Info2!G$2,RegEv!$C:$C,Info2!G$3,RegEv!$E:$E,Info2!$B6)</f>
        <v>0</v>
      </c>
      <c r="H6" s="54">
        <v>14</v>
      </c>
      <c r="I6" s="112">
        <f t="shared" ref="I6:M12" si="2">C6/$H6</f>
        <v>0</v>
      </c>
      <c r="J6" s="112">
        <f t="shared" si="2"/>
        <v>0</v>
      </c>
      <c r="K6" s="112">
        <f t="shared" si="2"/>
        <v>0</v>
      </c>
      <c r="L6" s="112">
        <f t="shared" si="2"/>
        <v>0</v>
      </c>
      <c r="M6" s="112">
        <f t="shared" si="2"/>
        <v>0</v>
      </c>
    </row>
    <row r="7" spans="2:29" x14ac:dyDescent="0.35">
      <c r="B7" s="5" t="s">
        <v>26</v>
      </c>
      <c r="C7" s="111">
        <f>SUMIFS(RegEv!$I:$I,RegEv!$B:$B,Info2!C$2,RegEv!$C:$C,Info2!C$3,RegEv!$E:$E,Info2!$B7)</f>
        <v>0</v>
      </c>
      <c r="D7" s="111">
        <f>SUMIFS(RegEv!$I:$I,RegEv!$B:$B,Info2!D$2,RegEv!$C:$C,Info2!D$3,RegEv!$E:$E,Info2!$B7)</f>
        <v>0</v>
      </c>
      <c r="E7" s="111">
        <f>SUMIFS(RegEv!$I:$I,RegEv!$B:$B,Info2!E$2,RegEv!$C:$C,Info2!E$3,RegEv!$E:$E,Info2!$B7)</f>
        <v>0</v>
      </c>
      <c r="F7" s="111">
        <f>SUMIFS(RegEv!$I:$I,RegEv!$B:$B,Info2!F$2,RegEv!$C:$C,Info2!F$3,RegEv!$E:$E,Info2!$B7)</f>
        <v>0</v>
      </c>
      <c r="G7" s="111">
        <f>SUMIFS(RegEv!$I:$I,RegEv!$B:$B,Info2!G$2,RegEv!$C:$C,Info2!G$3,RegEv!$E:$E,Info2!$B7)</f>
        <v>0</v>
      </c>
      <c r="H7" s="54">
        <v>20</v>
      </c>
      <c r="I7" s="112">
        <f t="shared" si="2"/>
        <v>0</v>
      </c>
      <c r="J7" s="112">
        <f t="shared" si="2"/>
        <v>0</v>
      </c>
      <c r="K7" s="112">
        <f t="shared" si="2"/>
        <v>0</v>
      </c>
      <c r="L7" s="112">
        <f t="shared" si="2"/>
        <v>0</v>
      </c>
      <c r="M7" s="112">
        <f t="shared" si="2"/>
        <v>0</v>
      </c>
    </row>
    <row r="8" spans="2:29" x14ac:dyDescent="0.35">
      <c r="B8" s="5" t="s">
        <v>32</v>
      </c>
      <c r="C8" s="111">
        <f>SUMIFS(RegEv!$I:$I,RegEv!$B:$B,Info2!C$2,RegEv!$C:$C,Info2!C$3,RegEv!$E:$E,Info2!$B8)</f>
        <v>0</v>
      </c>
      <c r="D8" s="111">
        <f>SUMIFS(RegEv!$I:$I,RegEv!$B:$B,Info2!D$2,RegEv!$C:$C,Info2!D$3,RegEv!$E:$E,Info2!$B8)</f>
        <v>0</v>
      </c>
      <c r="E8" s="111">
        <f>SUMIFS(RegEv!$I:$I,RegEv!$B:$B,Info2!E$2,RegEv!$C:$C,Info2!E$3,RegEv!$E:$E,Info2!$B8)</f>
        <v>0</v>
      </c>
      <c r="F8" s="111">
        <f>SUMIFS(RegEv!$I:$I,RegEv!$B:$B,Info2!F$2,RegEv!$C:$C,Info2!F$3,RegEv!$E:$E,Info2!$B8)</f>
        <v>0</v>
      </c>
      <c r="G8" s="111">
        <f>SUMIFS(RegEv!$I:$I,RegEv!$B:$B,Info2!G$2,RegEv!$C:$C,Info2!G$3,RegEv!$E:$E,Info2!$B8)</f>
        <v>0</v>
      </c>
      <c r="H8" s="54">
        <v>30</v>
      </c>
      <c r="I8" s="112">
        <f t="shared" si="2"/>
        <v>0</v>
      </c>
      <c r="J8" s="112">
        <f t="shared" si="2"/>
        <v>0</v>
      </c>
      <c r="K8" s="112">
        <f t="shared" si="2"/>
        <v>0</v>
      </c>
      <c r="L8" s="112">
        <f t="shared" si="2"/>
        <v>0</v>
      </c>
      <c r="M8" s="112">
        <f t="shared" si="2"/>
        <v>0</v>
      </c>
    </row>
    <row r="9" spans="2:29" x14ac:dyDescent="0.35">
      <c r="B9" s="5" t="s">
        <v>35</v>
      </c>
      <c r="C9" s="111">
        <f>SUMIFS(RegEv!$I:$I,RegEv!$B:$B,Info2!C$2,RegEv!$C:$C,Info2!C$3,RegEv!$E:$E,Info2!$B9)</f>
        <v>0</v>
      </c>
      <c r="D9" s="111">
        <f>SUMIFS(RegEv!$I:$I,RegEv!$B:$B,Info2!D$2,RegEv!$C:$C,Info2!D$3,RegEv!$E:$E,Info2!$B9)</f>
        <v>0</v>
      </c>
      <c r="E9" s="111">
        <f>SUMIFS(RegEv!$I:$I,RegEv!$B:$B,Info2!E$2,RegEv!$C:$C,Info2!E$3,RegEv!$E:$E,Info2!$B9)</f>
        <v>0</v>
      </c>
      <c r="F9" s="111">
        <f>SUMIFS(RegEv!$I:$I,RegEv!$B:$B,Info2!F$2,RegEv!$C:$C,Info2!F$3,RegEv!$E:$E,Info2!$B9)</f>
        <v>0</v>
      </c>
      <c r="G9" s="111">
        <f>SUMIFS(RegEv!$I:$I,RegEv!$B:$B,Info2!G$2,RegEv!$C:$C,Info2!G$3,RegEv!$E:$E,Info2!$B9)</f>
        <v>0</v>
      </c>
      <c r="H9" s="54">
        <v>10</v>
      </c>
      <c r="I9" s="112">
        <f t="shared" si="2"/>
        <v>0</v>
      </c>
      <c r="J9" s="112">
        <f t="shared" si="2"/>
        <v>0</v>
      </c>
      <c r="K9" s="112">
        <f t="shared" si="2"/>
        <v>0</v>
      </c>
      <c r="L9" s="112">
        <f t="shared" si="2"/>
        <v>0</v>
      </c>
      <c r="M9" s="112">
        <f t="shared" si="2"/>
        <v>0</v>
      </c>
    </row>
    <row r="10" spans="2:29" x14ac:dyDescent="0.35">
      <c r="B10" s="5" t="s">
        <v>39</v>
      </c>
      <c r="C10" s="111">
        <f>SUMIFS(RegEv!$I:$I,RegEv!$B:$B,Info2!C$2,RegEv!$C:$C,Info2!C$3,RegEv!$E:$E,Info2!$B10)</f>
        <v>0</v>
      </c>
      <c r="D10" s="111">
        <f>SUMIFS(RegEv!$I:$I,RegEv!$B:$B,Info2!D$2,RegEv!$C:$C,Info2!D$3,RegEv!$E:$E,Info2!$B10)</f>
        <v>0</v>
      </c>
      <c r="E10" s="111">
        <f>SUMIFS(RegEv!$I:$I,RegEv!$B:$B,Info2!E$2,RegEv!$C:$C,Info2!E$3,RegEv!$E:$E,Info2!$B10)</f>
        <v>0</v>
      </c>
      <c r="F10" s="111">
        <f>SUMIFS(RegEv!$I:$I,RegEv!$B:$B,Info2!F$2,RegEv!$C:$C,Info2!F$3,RegEv!$E:$E,Info2!$B10)</f>
        <v>0</v>
      </c>
      <c r="G10" s="111">
        <f>SUMIFS(RegEv!$I:$I,RegEv!$B:$B,Info2!G$2,RegEv!$C:$C,Info2!G$3,RegEv!$E:$E,Info2!$B10)</f>
        <v>0</v>
      </c>
      <c r="H10" s="54">
        <v>5</v>
      </c>
      <c r="I10" s="112">
        <f t="shared" si="2"/>
        <v>0</v>
      </c>
      <c r="J10" s="112">
        <f t="shared" si="2"/>
        <v>0</v>
      </c>
      <c r="K10" s="112">
        <f t="shared" si="2"/>
        <v>0</v>
      </c>
      <c r="L10" s="112">
        <f t="shared" si="2"/>
        <v>0</v>
      </c>
      <c r="M10" s="112">
        <f t="shared" si="2"/>
        <v>0</v>
      </c>
    </row>
    <row r="11" spans="2:29" x14ac:dyDescent="0.35">
      <c r="B11" s="5" t="s">
        <v>44</v>
      </c>
      <c r="C11" s="111">
        <f>SUMIFS(RegEv!$I:$I,RegEv!$B:$B,Info2!C$2,RegEv!$C:$C,Info2!C$3,RegEv!$E:$E,Info2!$B11)</f>
        <v>0</v>
      </c>
      <c r="D11" s="111">
        <f>SUMIFS(RegEv!$I:$I,RegEv!$B:$B,Info2!D$2,RegEv!$C:$C,Info2!D$3,RegEv!$E:$E,Info2!$B11)</f>
        <v>0</v>
      </c>
      <c r="E11" s="111">
        <f>SUMIFS(RegEv!$I:$I,RegEv!$B:$B,Info2!E$2,RegEv!$C:$C,Info2!E$3,RegEv!$E:$E,Info2!$B11)</f>
        <v>0</v>
      </c>
      <c r="F11" s="111">
        <f>SUMIFS(RegEv!$I:$I,RegEv!$B:$B,Info2!F$2,RegEv!$C:$C,Info2!F$3,RegEv!$E:$E,Info2!$B11)</f>
        <v>0</v>
      </c>
      <c r="G11" s="111">
        <f>SUMIFS(RegEv!$I:$I,RegEv!$B:$B,Info2!G$2,RegEv!$C:$C,Info2!G$3,RegEv!$E:$E,Info2!$B11)</f>
        <v>0</v>
      </c>
      <c r="H11" s="54">
        <v>10</v>
      </c>
      <c r="I11" s="112">
        <f t="shared" si="2"/>
        <v>0</v>
      </c>
      <c r="J11" s="112">
        <f t="shared" si="2"/>
        <v>0</v>
      </c>
      <c r="K11" s="112">
        <f t="shared" si="2"/>
        <v>0</v>
      </c>
      <c r="L11" s="112">
        <f t="shared" si="2"/>
        <v>0</v>
      </c>
      <c r="M11" s="112">
        <f t="shared" si="2"/>
        <v>0</v>
      </c>
    </row>
    <row r="12" spans="2:29" ht="15.5" x14ac:dyDescent="0.35">
      <c r="B12" s="110" t="s">
        <v>450</v>
      </c>
      <c r="C12" s="113">
        <f>SUM(C5:C11)</f>
        <v>0</v>
      </c>
      <c r="D12" s="113">
        <f t="shared" ref="D12:G12" si="3">SUM(D5:D11)</f>
        <v>0</v>
      </c>
      <c r="E12" s="113">
        <f t="shared" si="3"/>
        <v>0</v>
      </c>
      <c r="F12" s="113">
        <f t="shared" si="3"/>
        <v>0</v>
      </c>
      <c r="G12" s="113">
        <f t="shared" si="3"/>
        <v>0</v>
      </c>
      <c r="H12" s="113">
        <v>100</v>
      </c>
      <c r="I12" s="114">
        <f>C12/$H12</f>
        <v>0</v>
      </c>
      <c r="J12" s="114">
        <f t="shared" si="2"/>
        <v>0</v>
      </c>
      <c r="K12" s="114">
        <f t="shared" si="2"/>
        <v>0</v>
      </c>
      <c r="L12" s="114">
        <f t="shared" si="2"/>
        <v>0</v>
      </c>
      <c r="M12" s="114">
        <f t="shared" si="2"/>
        <v>0</v>
      </c>
    </row>
    <row r="15" spans="2:29" ht="34.5" customHeight="1" x14ac:dyDescent="0.35">
      <c r="B15" s="116" t="s">
        <v>0</v>
      </c>
      <c r="C15" s="118" t="str">
        <f>IF(C2="","",C2&amp; " del "&amp;DAY(C3)&amp;"/"&amp;MONTH(C3)&amp;"/"&amp;YEAR(C3))</f>
        <v>PRUEBAS CARGUE PA 01 del 15/4/2020</v>
      </c>
      <c r="D15" s="118" t="str">
        <f t="shared" ref="D15:G15" si="4">IF(D2="","",D2&amp; " del "&amp;DAY(D3)&amp;"/"&amp;MONTH(D3)&amp;"/"&amp;YEAR(D3))</f>
        <v>PRUEBAS 02 del 10/4/2020</v>
      </c>
      <c r="E15" s="118" t="str">
        <f t="shared" si="4"/>
        <v/>
      </c>
      <c r="F15" s="118" t="str">
        <f t="shared" si="4"/>
        <v/>
      </c>
      <c r="G15" s="118" t="str">
        <f t="shared" si="4"/>
        <v/>
      </c>
      <c r="H15" s="109" t="s">
        <v>451</v>
      </c>
      <c r="I15" s="118" t="str">
        <f>IF(I2="","",I2&amp; " del "&amp;DAY(I3)&amp;"/"&amp;MONTH(I3)&amp;"/"&amp;YEAR(I3))</f>
        <v>PRUEBAS CARGUE PA 01 del 15/4/2020</v>
      </c>
      <c r="J15" s="118" t="str">
        <f t="shared" ref="J15:M15" si="5">IF(J2="","",J2&amp; " del "&amp;DAY(J3)&amp;"/"&amp;MONTH(J3)&amp;"/"&amp;YEAR(J3))</f>
        <v>PRUEBAS 02 del 10/4/2020</v>
      </c>
      <c r="K15" s="118" t="str">
        <f t="shared" si="5"/>
        <v/>
      </c>
      <c r="L15" s="118" t="str">
        <f t="shared" si="5"/>
        <v/>
      </c>
      <c r="M15" s="118" t="str">
        <f t="shared" si="5"/>
        <v/>
      </c>
    </row>
    <row r="16" spans="2:29" x14ac:dyDescent="0.35">
      <c r="B16" s="5" t="s">
        <v>6</v>
      </c>
      <c r="C16" s="111">
        <f>SUMIFS(RegEv!$I:$I,RegEv!$B:$B,Info2!C$2,RegEv!$C:$C,Info2!C$3,RegEv!$D:$D,Info2!$B16)</f>
        <v>0</v>
      </c>
      <c r="D16" s="111">
        <f>SUMIFS(RegEv!$I:$I,RegEv!$B:$B,Info2!D$2,RegEv!$C:$C,Info2!D$3,RegEv!$D:$D,Info2!$B16)</f>
        <v>0</v>
      </c>
      <c r="E16" s="111">
        <f>SUMIFS(RegEv!$I:$I,RegEv!$B:$B,Info2!E$2,RegEv!$C:$C,Info2!E$3,RegEv!$D:$D,Info2!$B16)</f>
        <v>0</v>
      </c>
      <c r="F16" s="111">
        <f>SUMIFS(RegEv!$I:$I,RegEv!$B:$B,Info2!F$2,RegEv!$C:$C,Info2!F$3,RegEv!$D:$D,Info2!$B16)</f>
        <v>0</v>
      </c>
      <c r="G16" s="111">
        <f>SUMIFS(RegEv!$I:$I,RegEv!$B:$B,Info2!G$2,RegEv!$C:$C,Info2!G$3,RegEv!$D:$D,Info2!$B16)</f>
        <v>0</v>
      </c>
      <c r="H16" s="54">
        <v>25</v>
      </c>
      <c r="I16" s="112">
        <f>C16/$H16</f>
        <v>0</v>
      </c>
      <c r="J16" s="112">
        <f>D16/$H16</f>
        <v>0</v>
      </c>
      <c r="K16" s="112">
        <f>E16/$H16</f>
        <v>0</v>
      </c>
      <c r="L16" s="112">
        <f>F16/$H16</f>
        <v>0</v>
      </c>
      <c r="M16" s="112">
        <f>G16/$H16</f>
        <v>0</v>
      </c>
    </row>
    <row r="17" spans="2:13" x14ac:dyDescent="0.35">
      <c r="B17" s="5" t="s">
        <v>25</v>
      </c>
      <c r="C17" s="111">
        <f>SUMIFS(RegEv!$I:$I,RegEv!$B:$B,Info2!C$2,RegEv!$C:$C,Info2!C$3,RegEv!$D:$D,Info2!$B17)</f>
        <v>0</v>
      </c>
      <c r="D17" s="111">
        <f>SUMIFS(RegEv!$I:$I,RegEv!$B:$B,Info2!D$2,RegEv!$C:$C,Info2!D$3,RegEv!$D:$D,Info2!$B17)</f>
        <v>0</v>
      </c>
      <c r="E17" s="111">
        <f>SUMIFS(RegEv!$I:$I,RegEv!$B:$B,Info2!E$2,RegEv!$C:$C,Info2!E$3,RegEv!$D:$D,Info2!$B17)</f>
        <v>0</v>
      </c>
      <c r="F17" s="111">
        <f>SUMIFS(RegEv!$I:$I,RegEv!$B:$B,Info2!F$2,RegEv!$C:$C,Info2!F$3,RegEv!$D:$D,Info2!$B17)</f>
        <v>0</v>
      </c>
      <c r="G17" s="111">
        <f>SUMIFS(RegEv!$I:$I,RegEv!$B:$B,Info2!G$2,RegEv!$C:$C,Info2!G$3,RegEv!$D:$D,Info2!$B17)</f>
        <v>0</v>
      </c>
      <c r="H17" s="54">
        <v>60</v>
      </c>
      <c r="I17" s="112">
        <f t="shared" ref="I17:M19" si="6">C17/$H17</f>
        <v>0</v>
      </c>
      <c r="J17" s="112">
        <f t="shared" si="6"/>
        <v>0</v>
      </c>
      <c r="K17" s="112">
        <f t="shared" si="6"/>
        <v>0</v>
      </c>
      <c r="L17" s="112">
        <f t="shared" si="6"/>
        <v>0</v>
      </c>
      <c r="M17" s="112">
        <f t="shared" si="6"/>
        <v>0</v>
      </c>
    </row>
    <row r="18" spans="2:13" x14ac:dyDescent="0.35">
      <c r="B18" s="5" t="s">
        <v>38</v>
      </c>
      <c r="C18" s="111">
        <f>SUMIFS(RegEv!$I:$I,RegEv!$B:$B,Info2!C$2,RegEv!$C:$C,Info2!C$3,RegEv!$D:$D,Info2!$B18)</f>
        <v>0</v>
      </c>
      <c r="D18" s="111">
        <f>SUMIFS(RegEv!$I:$I,RegEv!$B:$B,Info2!D$2,RegEv!$C:$C,Info2!D$3,RegEv!$D:$D,Info2!$B18)</f>
        <v>0</v>
      </c>
      <c r="E18" s="111">
        <f>SUMIFS(RegEv!$I:$I,RegEv!$B:$B,Info2!E$2,RegEv!$C:$C,Info2!E$3,RegEv!$D:$D,Info2!$B18)</f>
        <v>0</v>
      </c>
      <c r="F18" s="111">
        <f>SUMIFS(RegEv!$I:$I,RegEv!$B:$B,Info2!F$2,RegEv!$C:$C,Info2!F$3,RegEv!$D:$D,Info2!$B18)</f>
        <v>0</v>
      </c>
      <c r="G18" s="111">
        <f>SUMIFS(RegEv!$I:$I,RegEv!$B:$B,Info2!G$2,RegEv!$C:$C,Info2!G$3,RegEv!$D:$D,Info2!$B18)</f>
        <v>0</v>
      </c>
      <c r="H18" s="54">
        <v>5</v>
      </c>
      <c r="I18" s="112">
        <f t="shared" si="6"/>
        <v>0</v>
      </c>
      <c r="J18" s="112">
        <f t="shared" si="6"/>
        <v>0</v>
      </c>
      <c r="K18" s="112">
        <f t="shared" si="6"/>
        <v>0</v>
      </c>
      <c r="L18" s="112">
        <f t="shared" si="6"/>
        <v>0</v>
      </c>
      <c r="M18" s="112">
        <f t="shared" si="6"/>
        <v>0</v>
      </c>
    </row>
    <row r="19" spans="2:13" x14ac:dyDescent="0.35">
      <c r="B19" s="5" t="s">
        <v>43</v>
      </c>
      <c r="C19" s="111">
        <f>SUMIFS(RegEv!$I:$I,RegEv!$B:$B,Info2!C$2,RegEv!$C:$C,Info2!C$3,RegEv!$D:$D,Info2!$B19)</f>
        <v>0</v>
      </c>
      <c r="D19" s="111">
        <f>SUMIFS(RegEv!$I:$I,RegEv!$B:$B,Info2!D$2,RegEv!$C:$C,Info2!D$3,RegEv!$D:$D,Info2!$B19)</f>
        <v>0</v>
      </c>
      <c r="E19" s="111">
        <f>SUMIFS(RegEv!$I:$I,RegEv!$B:$B,Info2!E$2,RegEv!$C:$C,Info2!E$3,RegEv!$D:$D,Info2!$B19)</f>
        <v>0</v>
      </c>
      <c r="F19" s="111">
        <f>SUMIFS(RegEv!$I:$I,RegEv!$B:$B,Info2!F$2,RegEv!$C:$C,Info2!F$3,RegEv!$D:$D,Info2!$B19)</f>
        <v>0</v>
      </c>
      <c r="G19" s="111">
        <f>SUMIFS(RegEv!$I:$I,RegEv!$B:$B,Info2!G$2,RegEv!$C:$C,Info2!G$3,RegEv!$D:$D,Info2!$B19)</f>
        <v>0</v>
      </c>
      <c r="H19" s="54">
        <v>10</v>
      </c>
      <c r="I19" s="112">
        <f t="shared" si="6"/>
        <v>0</v>
      </c>
      <c r="J19" s="112">
        <f t="shared" si="6"/>
        <v>0</v>
      </c>
      <c r="K19" s="112">
        <f t="shared" si="6"/>
        <v>0</v>
      </c>
      <c r="L19" s="112">
        <f t="shared" si="6"/>
        <v>0</v>
      </c>
      <c r="M19" s="112">
        <f t="shared" si="6"/>
        <v>0</v>
      </c>
    </row>
    <row r="22" spans="2:13" ht="28.5" customHeight="1" x14ac:dyDescent="0.35">
      <c r="B22" s="116" t="s">
        <v>584</v>
      </c>
      <c r="C22" s="118" t="str">
        <f>C15</f>
        <v>PRUEBAS CARGUE PA 01 del 15/4/2020</v>
      </c>
      <c r="D22" s="118" t="str">
        <f t="shared" ref="D22:G22" si="7">D15</f>
        <v>PRUEBAS 02 del 10/4/2020</v>
      </c>
      <c r="E22" s="118" t="str">
        <f t="shared" si="7"/>
        <v/>
      </c>
      <c r="F22" s="118" t="str">
        <f t="shared" si="7"/>
        <v/>
      </c>
      <c r="G22" s="118" t="str">
        <f t="shared" si="7"/>
        <v/>
      </c>
      <c r="H22" s="109" t="s">
        <v>451</v>
      </c>
      <c r="I22" s="118" t="str">
        <f>I15</f>
        <v>PRUEBAS CARGUE PA 01 del 15/4/2020</v>
      </c>
      <c r="J22" s="118" t="str">
        <f t="shared" ref="J22:M22" si="8">J15</f>
        <v>PRUEBAS 02 del 10/4/2020</v>
      </c>
      <c r="K22" s="118" t="str">
        <f t="shared" si="8"/>
        <v/>
      </c>
      <c r="L22" s="118" t="str">
        <f t="shared" si="8"/>
        <v/>
      </c>
      <c r="M22" s="118" t="str">
        <f t="shared" si="8"/>
        <v/>
      </c>
    </row>
    <row r="23" spans="2:13" x14ac:dyDescent="0.35">
      <c r="B23" s="54" t="s">
        <v>454</v>
      </c>
      <c r="C23" s="115">
        <f>COUNTIFS(RegEv!$B:$B,C$2,RegEv!$C:$C,C$3,RegEv!$H:$H,"Si")</f>
        <v>0</v>
      </c>
      <c r="D23" s="115">
        <f>COUNTIFS(RegEv!$B:$B,D$2,RegEv!$C:$C,D$3,RegEv!$H:$H,"Si")</f>
        <v>0</v>
      </c>
      <c r="E23" s="115">
        <f>COUNTIFS(RegEv!$B:$B,E$2,RegEv!$C:$C,E$3,RegEv!$H:$H,"Si")</f>
        <v>0</v>
      </c>
      <c r="F23" s="115">
        <f>COUNTIFS(RegEv!$B:$B,F$2,RegEv!$C:$C,F$3,RegEv!$H:$H,"Si")</f>
        <v>0</v>
      </c>
      <c r="G23" s="115">
        <f>COUNTIFS(RegEv!$B:$B,G$2,RegEv!$C:$C,G$3,RegEv!$H:$H,"Si")</f>
        <v>0</v>
      </c>
      <c r="H23" s="54">
        <v>60</v>
      </c>
      <c r="I23" s="112">
        <f t="shared" ref="I23:M25" si="9">C23/60</f>
        <v>0</v>
      </c>
      <c r="J23" s="112">
        <f t="shared" si="9"/>
        <v>0</v>
      </c>
      <c r="K23" s="112">
        <f t="shared" si="9"/>
        <v>0</v>
      </c>
      <c r="L23" s="112">
        <f t="shared" si="9"/>
        <v>0</v>
      </c>
      <c r="M23" s="112">
        <f t="shared" si="9"/>
        <v>0</v>
      </c>
    </row>
    <row r="24" spans="2:13" x14ac:dyDescent="0.35">
      <c r="B24" s="54" t="s">
        <v>3</v>
      </c>
      <c r="C24" s="115">
        <f>COUNTIFS(RegEv!$B:$B,C$2,RegEv!$C:$C,C$3,RegEv!$H:$H,"NO")</f>
        <v>0</v>
      </c>
      <c r="D24" s="115">
        <f>COUNTIFS(RegEv!$B:$B,D$2,RegEv!$C:$C,D$3,RegEv!$H:$H,"NO")</f>
        <v>0</v>
      </c>
      <c r="E24" s="115">
        <f>COUNTIFS(RegEv!$B:$B,E$2,RegEv!$C:$C,E$3,RegEv!$H:$H,"NO")</f>
        <v>0</v>
      </c>
      <c r="F24" s="115">
        <f>COUNTIFS(RegEv!$B:$B,F$2,RegEv!$C:$C,F$3,RegEv!$H:$H,"NO")</f>
        <v>0</v>
      </c>
      <c r="G24" s="115">
        <f>COUNTIFS(RegEv!$B:$B,G$2,RegEv!$C:$C,G$3,RegEv!$H:$H,"NO")</f>
        <v>0</v>
      </c>
      <c r="H24" s="54">
        <v>60</v>
      </c>
      <c r="I24" s="112">
        <f t="shared" si="9"/>
        <v>0</v>
      </c>
      <c r="J24" s="112">
        <f t="shared" si="9"/>
        <v>0</v>
      </c>
      <c r="K24" s="112">
        <f t="shared" si="9"/>
        <v>0</v>
      </c>
      <c r="L24" s="112">
        <f t="shared" si="9"/>
        <v>0</v>
      </c>
      <c r="M24" s="112">
        <f t="shared" si="9"/>
        <v>0</v>
      </c>
    </row>
    <row r="25" spans="2:13" x14ac:dyDescent="0.35">
      <c r="B25" s="54" t="s">
        <v>1</v>
      </c>
      <c r="C25" s="115">
        <f>COUNTIFS(RegEv!$B:$B,C$2,RegEv!$C:$C,C$3,RegEv!$H:$H,"No aplica")</f>
        <v>0</v>
      </c>
      <c r="D25" s="115">
        <f>COUNTIFS(RegEv!$B:$B,D$2,RegEv!$C:$C,D$3,RegEv!$H:$H,"No aplica")</f>
        <v>0</v>
      </c>
      <c r="E25" s="115">
        <f>COUNTIFS(RegEv!$B:$B,E$2,RegEv!$C:$C,E$3,RegEv!$H:$H,"No aplica")</f>
        <v>0</v>
      </c>
      <c r="F25" s="115">
        <f>COUNTIFS(RegEv!$B:$B,F$2,RegEv!$C:$C,F$3,RegEv!$H:$H,"No aplica")</f>
        <v>0</v>
      </c>
      <c r="G25" s="115">
        <f>COUNTIFS(RegEv!$B:$B,G$2,RegEv!$C:$C,G$3,RegEv!$H:$H,"No aplica")</f>
        <v>0</v>
      </c>
      <c r="H25" s="54">
        <v>60</v>
      </c>
      <c r="I25" s="112">
        <f t="shared" si="9"/>
        <v>0</v>
      </c>
      <c r="J25" s="112">
        <f t="shared" si="9"/>
        <v>0</v>
      </c>
      <c r="K25" s="112">
        <f t="shared" si="9"/>
        <v>0</v>
      </c>
      <c r="L25" s="112">
        <f t="shared" si="9"/>
        <v>0</v>
      </c>
      <c r="M25" s="112">
        <f t="shared" si="9"/>
        <v>0</v>
      </c>
    </row>
  </sheetData>
  <sheetProtection password="CDD8" sheet="1" objects="1" scenarios="1"/>
  <mergeCells count="1">
    <mergeCell ref="H2:H4"/>
  </mergeCells>
  <pageMargins left="0.7" right="0.7" top="0.75" bottom="0.75" header="0.3" footer="0.3"/>
  <drawing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AU29"/>
  <sheetViews>
    <sheetView showGridLines="0" showRowColHeaders="0" topLeftCell="A3" zoomScale="115" zoomScaleNormal="115" workbookViewId="0">
      <selection activeCell="P5" sqref="P5"/>
    </sheetView>
  </sheetViews>
  <sheetFormatPr baseColWidth="10" defaultColWidth="11.453125" defaultRowHeight="16.5" x14ac:dyDescent="0.5"/>
  <cols>
    <col min="1" max="1" width="2.81640625" style="133" customWidth="1"/>
    <col min="2" max="32" width="3.7265625" style="133" customWidth="1"/>
    <col min="33" max="33" width="7" style="133" customWidth="1"/>
    <col min="34" max="34" width="4.1796875" style="133" customWidth="1"/>
    <col min="35" max="35" width="4.7265625" style="133" customWidth="1"/>
    <col min="36" max="36" width="4.1796875" style="133" customWidth="1"/>
    <col min="37" max="39" width="11.453125" style="133"/>
    <col min="40" max="40" width="11.453125" style="133" customWidth="1"/>
    <col min="41" max="47" width="11.453125" style="133" hidden="1" customWidth="1"/>
    <col min="48" max="59" width="11.453125" style="133" customWidth="1"/>
    <col min="60" max="16384" width="11.453125" style="133"/>
  </cols>
  <sheetData>
    <row r="1" spans="1:45" hidden="1" x14ac:dyDescent="0.5">
      <c r="A1" s="156"/>
      <c r="B1" s="157">
        <v>42887</v>
      </c>
      <c r="C1" s="157">
        <v>42917</v>
      </c>
      <c r="D1" s="157">
        <v>42948</v>
      </c>
      <c r="E1" s="157">
        <v>42979</v>
      </c>
      <c r="F1" s="157">
        <v>43009</v>
      </c>
      <c r="G1" s="157">
        <v>43040</v>
      </c>
      <c r="H1" s="157">
        <v>43070</v>
      </c>
      <c r="I1" s="157">
        <v>43101</v>
      </c>
      <c r="J1" s="157">
        <v>43132</v>
      </c>
      <c r="K1" s="157">
        <v>43160</v>
      </c>
      <c r="L1" s="157">
        <v>43191</v>
      </c>
      <c r="M1" s="157">
        <v>43221</v>
      </c>
      <c r="N1" s="157">
        <v>43252</v>
      </c>
      <c r="O1" s="157">
        <v>43282</v>
      </c>
      <c r="P1" s="157">
        <v>43313</v>
      </c>
      <c r="Q1" s="157">
        <v>43344</v>
      </c>
      <c r="R1" s="157">
        <v>43374</v>
      </c>
      <c r="S1" s="157">
        <v>43405</v>
      </c>
      <c r="T1" s="157">
        <v>43435</v>
      </c>
      <c r="U1" s="157">
        <v>43466</v>
      </c>
      <c r="V1" s="157">
        <v>43497</v>
      </c>
      <c r="W1" s="157">
        <v>43525</v>
      </c>
      <c r="X1" s="157">
        <v>43556</v>
      </c>
      <c r="Y1" s="157">
        <v>43586</v>
      </c>
      <c r="Z1" s="157">
        <v>43617</v>
      </c>
      <c r="AA1" s="157">
        <v>43647</v>
      </c>
      <c r="AB1" s="157">
        <v>43678</v>
      </c>
      <c r="AC1" s="157">
        <v>43709</v>
      </c>
      <c r="AD1" s="157">
        <v>43739</v>
      </c>
      <c r="AE1" s="157">
        <v>43770</v>
      </c>
      <c r="AF1" s="157">
        <v>43800</v>
      </c>
      <c r="AG1" s="157">
        <v>43831</v>
      </c>
      <c r="AH1" s="156"/>
      <c r="AI1" s="156"/>
      <c r="AJ1" s="156"/>
      <c r="AK1" s="156"/>
      <c r="AL1" s="156"/>
      <c r="AM1" s="156"/>
      <c r="AN1" s="156"/>
    </row>
    <row r="2" spans="1:45" hidden="1" x14ac:dyDescent="0.5">
      <c r="A2" s="156"/>
      <c r="B2" s="156"/>
      <c r="C2" s="156"/>
      <c r="D2" s="156"/>
      <c r="E2" s="156"/>
      <c r="F2" s="156"/>
      <c r="G2" s="156"/>
      <c r="H2" s="156"/>
      <c r="I2" s="156"/>
      <c r="J2" s="156"/>
      <c r="K2" s="156"/>
      <c r="L2" s="156"/>
      <c r="M2" s="156"/>
      <c r="N2" s="156"/>
      <c r="O2" s="156"/>
      <c r="P2" s="156"/>
      <c r="Q2" s="156"/>
      <c r="R2" s="156"/>
      <c r="S2" s="156"/>
      <c r="T2" s="156">
        <f ca="1">IF(AND($D$6&gt;=T1,$D$6&lt;U1),1,0)</f>
        <v>0</v>
      </c>
      <c r="U2" s="156">
        <f t="shared" ref="U2" ca="1" si="0">IF(AND($D$6&gt;=U1,$D$6&lt;V1),1,0)</f>
        <v>0</v>
      </c>
      <c r="V2" s="156">
        <f t="shared" ref="V2" ca="1" si="1">IF(AND($D$6&gt;=V1,$D$6&lt;W1),1,0)</f>
        <v>0</v>
      </c>
      <c r="W2" s="156">
        <f t="shared" ref="W2" ca="1" si="2">IF(AND($D$6&gt;=W1,$D$6&lt;X1),1,0)</f>
        <v>0</v>
      </c>
      <c r="X2" s="156">
        <f t="shared" ref="X2" ca="1" si="3">IF(AND($D$6&gt;=X1,$D$6&lt;Y1),1,0)</f>
        <v>0</v>
      </c>
      <c r="Y2" s="156">
        <f t="shared" ref="Y2" ca="1" si="4">IF(AND($D$6&gt;=Y1,$D$6&lt;Z1),1,0)</f>
        <v>0</v>
      </c>
      <c r="Z2" s="156">
        <f t="shared" ref="Z2" ca="1" si="5">IF(AND($D$6&gt;=Z1,$D$6&lt;AA1),1,0)</f>
        <v>0</v>
      </c>
      <c r="AA2" s="156">
        <f t="shared" ref="AA2" ca="1" si="6">IF(AND($D$6&gt;=AA1,$D$6&lt;AB1),1,0)</f>
        <v>0</v>
      </c>
      <c r="AB2" s="156">
        <f t="shared" ref="AB2" ca="1" si="7">IF(AND($D$6&gt;=AB1,$D$6&lt;AC1),1,0)</f>
        <v>0</v>
      </c>
      <c r="AC2" s="156">
        <f t="shared" ref="AC2" ca="1" si="8">IF(AND($D$6&gt;=AC1,$D$6&lt;AD1),1,0)</f>
        <v>0</v>
      </c>
      <c r="AD2" s="156">
        <f t="shared" ref="AD2" ca="1" si="9">IF(AND($D$6&gt;=AD1,$D$6&lt;AE1),1,0)</f>
        <v>0</v>
      </c>
      <c r="AE2" s="156">
        <f t="shared" ref="AE2" ca="1" si="10">IF(AND($D$6&gt;=AE1,$D$6&lt;AF1),1,0)</f>
        <v>0</v>
      </c>
      <c r="AF2" s="156">
        <f t="shared" ref="AF2" ca="1" si="11">IF(AND($D$6&gt;=AF1,$D$6&lt;AG1),1,0)</f>
        <v>0</v>
      </c>
      <c r="AG2" s="156">
        <f ca="1">IF(YEAR(TODAY())&gt;2019,1,0)</f>
        <v>1</v>
      </c>
      <c r="AH2" s="156"/>
      <c r="AI2" s="156"/>
      <c r="AJ2" s="156"/>
      <c r="AK2" s="156"/>
      <c r="AL2" s="156"/>
      <c r="AM2" s="156"/>
      <c r="AN2" s="156"/>
    </row>
    <row r="3" spans="1:45" x14ac:dyDescent="0.5">
      <c r="A3" s="156"/>
      <c r="B3" s="156"/>
      <c r="C3" s="156"/>
      <c r="D3" s="156"/>
      <c r="E3" s="156"/>
      <c r="F3" s="156"/>
      <c r="G3" s="156"/>
      <c r="H3" s="156"/>
      <c r="I3" s="156"/>
      <c r="J3" s="156"/>
      <c r="K3" s="156"/>
      <c r="L3" s="156"/>
      <c r="M3" s="156"/>
      <c r="N3" s="156"/>
      <c r="O3" s="156"/>
      <c r="P3" s="156"/>
      <c r="Q3" s="156"/>
      <c r="R3" s="156"/>
      <c r="S3" s="156"/>
      <c r="T3" s="156"/>
      <c r="U3" s="156">
        <f ca="1">SUM(U2:AD2)</f>
        <v>0</v>
      </c>
      <c r="V3" s="156"/>
      <c r="W3" s="156"/>
      <c r="X3" s="156"/>
      <c r="Y3" s="156"/>
      <c r="Z3" s="156"/>
      <c r="AA3" s="156"/>
      <c r="AB3" s="156"/>
      <c r="AC3" s="156"/>
      <c r="AD3" s="156"/>
      <c r="AE3" s="156">
        <f ca="1">IF(D6&gt;AE1,1,0)</f>
        <v>1</v>
      </c>
      <c r="AF3" s="156"/>
      <c r="AG3" s="156">
        <f ca="1">IF(D6&gt;=AG1,1,0)</f>
        <v>1</v>
      </c>
      <c r="AH3" s="156"/>
      <c r="AI3" s="156"/>
      <c r="AJ3" s="156"/>
      <c r="AK3" s="156"/>
      <c r="AL3" s="156"/>
      <c r="AM3" s="156"/>
      <c r="AN3" s="156"/>
    </row>
    <row r="5" spans="1:45" x14ac:dyDescent="0.5">
      <c r="B5" s="139"/>
      <c r="C5" s="139"/>
      <c r="D5" s="139"/>
      <c r="E5" s="139"/>
      <c r="F5" s="139"/>
      <c r="G5" s="139"/>
      <c r="H5" s="139"/>
      <c r="I5" s="139"/>
      <c r="J5" s="139"/>
      <c r="K5" s="139"/>
      <c r="L5" s="139"/>
      <c r="M5" s="139"/>
      <c r="N5" s="139"/>
    </row>
    <row r="6" spans="1:45" x14ac:dyDescent="0.5">
      <c r="B6" s="155"/>
      <c r="C6" s="158" t="s">
        <v>563</v>
      </c>
      <c r="D6" s="311">
        <f ca="1">TODAY()</f>
        <v>45625</v>
      </c>
      <c r="E6" s="311"/>
      <c r="F6" s="311"/>
      <c r="G6" s="311"/>
      <c r="H6" s="311"/>
      <c r="I6" s="311"/>
      <c r="J6" s="311"/>
      <c r="K6" s="311"/>
      <c r="L6" s="311"/>
      <c r="M6" s="311"/>
      <c r="N6" s="311"/>
      <c r="O6" s="311"/>
      <c r="P6" s="311"/>
      <c r="Q6" s="311"/>
      <c r="R6" s="311"/>
      <c r="S6" s="311"/>
      <c r="T6" s="311"/>
    </row>
    <row r="7" spans="1:45" ht="21" x14ac:dyDescent="0.6">
      <c r="B7" s="310" t="s">
        <v>565</v>
      </c>
      <c r="C7" s="310"/>
      <c r="D7" s="310"/>
      <c r="E7" s="310"/>
      <c r="F7" s="310"/>
      <c r="G7" s="310"/>
      <c r="H7" s="310"/>
      <c r="I7" s="310"/>
      <c r="J7" s="310"/>
      <c r="K7" s="310"/>
      <c r="L7" s="310"/>
      <c r="M7" s="310"/>
      <c r="N7" s="310"/>
      <c r="O7" s="310"/>
      <c r="P7" s="310"/>
      <c r="Q7" s="310"/>
      <c r="R7" s="310"/>
      <c r="S7" s="310"/>
      <c r="T7" s="310"/>
      <c r="U7" s="310"/>
      <c r="V7" s="310"/>
      <c r="W7" s="310"/>
      <c r="X7" s="310"/>
      <c r="Y7" s="310"/>
      <c r="Z7" s="310"/>
      <c r="AA7" s="310"/>
      <c r="AB7" s="310"/>
      <c r="AC7" s="310"/>
      <c r="AD7" s="310"/>
      <c r="AE7" s="310"/>
      <c r="AF7" s="310"/>
      <c r="AG7" s="310"/>
      <c r="AH7" s="310"/>
      <c r="AI7" s="310"/>
      <c r="AJ7" s="310"/>
      <c r="AK7" s="310"/>
      <c r="AL7" s="310"/>
    </row>
    <row r="8" spans="1:45" x14ac:dyDescent="0.5">
      <c r="B8" s="318">
        <v>2017</v>
      </c>
      <c r="C8" s="318"/>
      <c r="D8" s="318"/>
      <c r="E8" s="318"/>
      <c r="F8" s="318"/>
      <c r="G8" s="318"/>
      <c r="H8" s="318"/>
      <c r="I8" s="318">
        <v>2018</v>
      </c>
      <c r="J8" s="318"/>
      <c r="K8" s="318"/>
      <c r="L8" s="318"/>
      <c r="M8" s="318"/>
      <c r="N8" s="318"/>
      <c r="O8" s="318"/>
      <c r="P8" s="318"/>
      <c r="Q8" s="318"/>
      <c r="R8" s="318"/>
      <c r="S8" s="318"/>
      <c r="T8" s="318"/>
      <c r="U8" s="319">
        <v>2019</v>
      </c>
      <c r="V8" s="320"/>
      <c r="W8" s="320"/>
      <c r="X8" s="320"/>
      <c r="Y8" s="320"/>
      <c r="Z8" s="320"/>
      <c r="AA8" s="320"/>
      <c r="AB8" s="320"/>
      <c r="AC8" s="320"/>
      <c r="AD8" s="320"/>
      <c r="AE8" s="320"/>
      <c r="AF8" s="321"/>
      <c r="AG8" s="313" t="s">
        <v>562</v>
      </c>
      <c r="AH8" s="314"/>
      <c r="AI8" s="314"/>
      <c r="AJ8" s="314"/>
      <c r="AK8" s="314"/>
      <c r="AL8" s="315"/>
    </row>
    <row r="9" spans="1:45" ht="87" customHeight="1" x14ac:dyDescent="0.5">
      <c r="B9" s="154" t="s">
        <v>548</v>
      </c>
      <c r="C9" s="154" t="s">
        <v>549</v>
      </c>
      <c r="D9" s="154" t="s">
        <v>550</v>
      </c>
      <c r="E9" s="154" t="s">
        <v>551</v>
      </c>
      <c r="F9" s="154" t="s">
        <v>552</v>
      </c>
      <c r="G9" s="154" t="s">
        <v>553</v>
      </c>
      <c r="H9" s="154" t="s">
        <v>554</v>
      </c>
      <c r="I9" s="154" t="s">
        <v>555</v>
      </c>
      <c r="J9" s="154" t="s">
        <v>556</v>
      </c>
      <c r="K9" s="154" t="s">
        <v>557</v>
      </c>
      <c r="L9" s="154" t="s">
        <v>558</v>
      </c>
      <c r="M9" s="154" t="s">
        <v>559</v>
      </c>
      <c r="N9" s="154" t="s">
        <v>548</v>
      </c>
      <c r="O9" s="154" t="s">
        <v>549</v>
      </c>
      <c r="P9" s="154" t="s">
        <v>550</v>
      </c>
      <c r="Q9" s="154" t="s">
        <v>551</v>
      </c>
      <c r="R9" s="154" t="s">
        <v>552</v>
      </c>
      <c r="S9" s="154" t="s">
        <v>553</v>
      </c>
      <c r="T9" s="154" t="s">
        <v>554</v>
      </c>
      <c r="U9" s="154" t="s">
        <v>555</v>
      </c>
      <c r="V9" s="154" t="s">
        <v>556</v>
      </c>
      <c r="W9" s="154" t="s">
        <v>557</v>
      </c>
      <c r="X9" s="154" t="s">
        <v>558</v>
      </c>
      <c r="Y9" s="154" t="s">
        <v>559</v>
      </c>
      <c r="Z9" s="154" t="s">
        <v>548</v>
      </c>
      <c r="AA9" s="154" t="s">
        <v>549</v>
      </c>
      <c r="AB9" s="154" t="s">
        <v>550</v>
      </c>
      <c r="AC9" s="154" t="s">
        <v>551</v>
      </c>
      <c r="AD9" s="154" t="s">
        <v>552</v>
      </c>
      <c r="AE9" s="154" t="s">
        <v>553</v>
      </c>
      <c r="AF9" s="154" t="s">
        <v>554</v>
      </c>
      <c r="AG9" s="312" t="s">
        <v>572</v>
      </c>
      <c r="AH9" s="312"/>
      <c r="AI9" s="312"/>
      <c r="AJ9" s="312"/>
      <c r="AK9" s="312"/>
      <c r="AL9" s="312"/>
    </row>
    <row r="10" spans="1:45" ht="4.5" customHeight="1" x14ac:dyDescent="0.5"/>
    <row r="11" spans="1:45" x14ac:dyDescent="0.5">
      <c r="B11" s="322" t="s">
        <v>540</v>
      </c>
      <c r="C11" s="322"/>
      <c r="D11" s="322"/>
      <c r="E11" s="322" t="s">
        <v>542</v>
      </c>
      <c r="F11" s="322"/>
      <c r="G11" s="322"/>
      <c r="H11" s="322"/>
      <c r="I11" s="322" t="s">
        <v>543</v>
      </c>
      <c r="J11" s="322"/>
      <c r="K11" s="322"/>
      <c r="L11" s="322"/>
      <c r="M11" s="322"/>
      <c r="N11" s="322"/>
      <c r="O11" s="322"/>
      <c r="P11" s="322"/>
      <c r="Q11" s="322"/>
      <c r="R11" s="322"/>
      <c r="S11" s="322"/>
      <c r="T11" s="322"/>
      <c r="U11" s="322" t="s">
        <v>544</v>
      </c>
      <c r="V11" s="322"/>
      <c r="W11" s="322"/>
      <c r="X11" s="322"/>
      <c r="Y11" s="322"/>
      <c r="Z11" s="322"/>
      <c r="AA11" s="322"/>
      <c r="AB11" s="322"/>
      <c r="AC11" s="322"/>
      <c r="AD11" s="322"/>
      <c r="AE11" s="317" t="s">
        <v>545</v>
      </c>
      <c r="AF11" s="317"/>
      <c r="AG11" s="317"/>
      <c r="AH11" s="317"/>
      <c r="AI11" s="317"/>
      <c r="AJ11" s="317"/>
      <c r="AK11" s="317"/>
      <c r="AL11" s="317"/>
    </row>
    <row r="12" spans="1:45" ht="45" customHeight="1" x14ac:dyDescent="0.5">
      <c r="B12" s="308" t="s">
        <v>541</v>
      </c>
      <c r="C12" s="308"/>
      <c r="D12" s="308"/>
      <c r="E12" s="308" t="s">
        <v>561</v>
      </c>
      <c r="F12" s="308"/>
      <c r="G12" s="308"/>
      <c r="H12" s="308"/>
      <c r="I12" s="308" t="s">
        <v>546</v>
      </c>
      <c r="J12" s="308"/>
      <c r="K12" s="308"/>
      <c r="L12" s="308"/>
      <c r="M12" s="308"/>
      <c r="N12" s="308"/>
      <c r="O12" s="308"/>
      <c r="P12" s="308"/>
      <c r="Q12" s="308"/>
      <c r="R12" s="308"/>
      <c r="S12" s="308"/>
      <c r="T12" s="308"/>
      <c r="U12" s="308" t="s">
        <v>547</v>
      </c>
      <c r="V12" s="308"/>
      <c r="W12" s="308"/>
      <c r="X12" s="308"/>
      <c r="Y12" s="308"/>
      <c r="Z12" s="308"/>
      <c r="AA12" s="308"/>
      <c r="AB12" s="308"/>
      <c r="AC12" s="308"/>
      <c r="AD12" s="308"/>
      <c r="AE12" s="316" t="s">
        <v>560</v>
      </c>
      <c r="AF12" s="316"/>
      <c r="AG12" s="316"/>
      <c r="AH12" s="316"/>
      <c r="AI12" s="316"/>
      <c r="AJ12" s="316"/>
      <c r="AK12" s="316"/>
      <c r="AL12" s="316"/>
    </row>
    <row r="14" spans="1:45" ht="18.5" x14ac:dyDescent="0.55000000000000004">
      <c r="C14" s="159" t="s">
        <v>566</v>
      </c>
      <c r="D14" s="159"/>
      <c r="E14" s="159"/>
      <c r="F14" s="159"/>
      <c r="G14" s="159"/>
      <c r="H14" s="159"/>
      <c r="I14" s="159"/>
      <c r="J14" s="159"/>
      <c r="K14" s="140"/>
      <c r="L14" s="140"/>
      <c r="M14" s="140"/>
      <c r="N14" s="140"/>
      <c r="O14" s="140"/>
      <c r="P14" s="140"/>
      <c r="Q14" s="140"/>
      <c r="R14" s="140"/>
      <c r="S14" s="140"/>
      <c r="T14" s="140"/>
      <c r="U14" s="140"/>
      <c r="V14" s="140"/>
      <c r="W14" s="140"/>
      <c r="X14" s="140"/>
      <c r="Y14" s="140"/>
      <c r="Z14" s="140"/>
      <c r="AA14" s="140"/>
      <c r="AB14" s="140"/>
      <c r="AC14" s="140"/>
      <c r="AD14" s="140"/>
      <c r="AE14" s="140"/>
      <c r="AF14" s="140"/>
      <c r="AG14" s="140"/>
      <c r="AH14" s="140"/>
      <c r="AI14" s="140"/>
      <c r="AJ14" s="140"/>
      <c r="AK14" s="140"/>
      <c r="AL14" s="140"/>
      <c r="AQ14" s="133">
        <f ca="1">MAX(AQ15:AQ25)</f>
        <v>11</v>
      </c>
    </row>
    <row r="15" spans="1:45" ht="18.5" x14ac:dyDescent="0.55000000000000004">
      <c r="C15" s="309" t="str">
        <f ca="1">VLOOKUP(AQ14,AP15:AS25,4,0)</f>
        <v>Ejecucion del plan de mejora para los Estándares Mínimos y Ejecución del Plan anual de trabajo</v>
      </c>
      <c r="D15" s="309"/>
      <c r="E15" s="309"/>
      <c r="F15" s="309"/>
      <c r="G15" s="309"/>
      <c r="H15" s="309"/>
      <c r="I15" s="309"/>
      <c r="J15" s="309"/>
      <c r="K15" s="309"/>
      <c r="L15" s="309"/>
      <c r="M15" s="309"/>
      <c r="N15" s="309"/>
      <c r="O15" s="309"/>
      <c r="P15" s="309"/>
      <c r="Q15" s="309"/>
      <c r="R15" s="309"/>
      <c r="S15" s="309"/>
      <c r="T15" s="309"/>
      <c r="U15" s="309"/>
      <c r="V15" s="309"/>
      <c r="W15" s="309"/>
      <c r="X15" s="309"/>
      <c r="Y15" s="309"/>
      <c r="Z15" s="309"/>
      <c r="AA15" s="309"/>
      <c r="AB15" s="309"/>
      <c r="AC15" s="309"/>
      <c r="AD15" s="309"/>
      <c r="AE15" s="309"/>
      <c r="AF15" s="309"/>
      <c r="AG15" s="309"/>
      <c r="AH15" s="309"/>
      <c r="AI15" s="309"/>
      <c r="AJ15" s="309"/>
      <c r="AK15" s="309"/>
      <c r="AL15" s="309"/>
      <c r="AP15" s="133">
        <v>1</v>
      </c>
      <c r="AQ15" s="133">
        <f ca="1">IF($D$6&gt;=AR15,AP15,0)</f>
        <v>1</v>
      </c>
      <c r="AR15" s="153">
        <v>43525</v>
      </c>
      <c r="AS15" s="133" t="s">
        <v>568</v>
      </c>
    </row>
    <row r="16" spans="1:45" ht="18.5" x14ac:dyDescent="0.55000000000000004">
      <c r="C16" s="309" t="str">
        <f ca="1">IF(AND(YEAR(D6)=2019,MONTH(D6)&lt;11),AS27,AS28)</f>
        <v>El Ministerio estará vigilando el cumplimiento de la normatividad vigente conforme a los Estándares Mínimos</v>
      </c>
      <c r="D16" s="309"/>
      <c r="E16" s="309"/>
      <c r="F16" s="309"/>
      <c r="G16" s="309"/>
      <c r="H16" s="309"/>
      <c r="I16" s="309"/>
      <c r="J16" s="309"/>
      <c r="K16" s="309"/>
      <c r="L16" s="309"/>
      <c r="M16" s="309"/>
      <c r="N16" s="309"/>
      <c r="O16" s="309"/>
      <c r="P16" s="309"/>
      <c r="Q16" s="309"/>
      <c r="R16" s="309"/>
      <c r="S16" s="309"/>
      <c r="T16" s="309"/>
      <c r="U16" s="309"/>
      <c r="V16" s="309"/>
      <c r="W16" s="309"/>
      <c r="X16" s="309"/>
      <c r="Y16" s="309"/>
      <c r="Z16" s="309"/>
      <c r="AA16" s="309"/>
      <c r="AB16" s="309"/>
      <c r="AC16" s="309"/>
      <c r="AD16" s="309"/>
      <c r="AE16" s="309"/>
      <c r="AF16" s="309"/>
      <c r="AG16" s="309"/>
      <c r="AH16" s="309"/>
      <c r="AI16" s="309"/>
      <c r="AJ16" s="309"/>
      <c r="AK16" s="309"/>
      <c r="AL16" s="309"/>
      <c r="AP16" s="133">
        <v>2</v>
      </c>
      <c r="AQ16" s="133">
        <f ca="1">IF($D$6&gt;=AR16,AP16,0)</f>
        <v>2</v>
      </c>
      <c r="AR16" s="153">
        <v>43556</v>
      </c>
      <c r="AS16" s="133" t="s">
        <v>568</v>
      </c>
    </row>
    <row r="17" spans="3:45" ht="18.5" x14ac:dyDescent="0.55000000000000004">
      <c r="C17" s="309" t="str">
        <f ca="1">IF(AND(YEAR(D6)&gt;=2019,MONTH(D6)=12),AS26,"")</f>
        <v/>
      </c>
      <c r="D17" s="309"/>
      <c r="E17" s="309"/>
      <c r="F17" s="309"/>
      <c r="G17" s="309"/>
      <c r="H17" s="309"/>
      <c r="I17" s="309"/>
      <c r="J17" s="309"/>
      <c r="K17" s="309"/>
      <c r="L17" s="309"/>
      <c r="M17" s="309"/>
      <c r="N17" s="309"/>
      <c r="O17" s="309"/>
      <c r="P17" s="309"/>
      <c r="Q17" s="309"/>
      <c r="R17" s="309"/>
      <c r="S17" s="309"/>
      <c r="T17" s="309"/>
      <c r="U17" s="309"/>
      <c r="V17" s="309"/>
      <c r="W17" s="309"/>
      <c r="X17" s="309"/>
      <c r="Y17" s="309"/>
      <c r="Z17" s="309"/>
      <c r="AA17" s="309"/>
      <c r="AB17" s="309"/>
      <c r="AC17" s="309"/>
      <c r="AD17" s="309"/>
      <c r="AE17" s="309"/>
      <c r="AF17" s="309"/>
      <c r="AG17" s="309"/>
      <c r="AH17" s="309"/>
      <c r="AI17" s="309"/>
      <c r="AJ17" s="309"/>
      <c r="AK17" s="309"/>
      <c r="AL17" s="309"/>
      <c r="AP17" s="133">
        <v>3</v>
      </c>
      <c r="AQ17" s="133">
        <f t="shared" ref="AQ17:AQ25" ca="1" si="12">IF($D$6&gt;=AR17,AP17,0)</f>
        <v>3</v>
      </c>
      <c r="AR17" s="153">
        <v>43586</v>
      </c>
      <c r="AS17" s="133" t="s">
        <v>568</v>
      </c>
    </row>
    <row r="18" spans="3:45" ht="18.5" x14ac:dyDescent="0.55000000000000004">
      <c r="C18" s="309" t="str">
        <f ca="1">IF(MONTH(D6)=7,AS29,"")</f>
        <v/>
      </c>
      <c r="D18" s="309"/>
      <c r="E18" s="309"/>
      <c r="F18" s="309"/>
      <c r="G18" s="309"/>
      <c r="H18" s="309"/>
      <c r="I18" s="309"/>
      <c r="J18" s="309"/>
      <c r="K18" s="309"/>
      <c r="L18" s="309"/>
      <c r="M18" s="309"/>
      <c r="N18" s="309"/>
      <c r="O18" s="309"/>
      <c r="P18" s="309"/>
      <c r="Q18" s="309"/>
      <c r="R18" s="309"/>
      <c r="S18" s="309"/>
      <c r="T18" s="309"/>
      <c r="U18" s="309"/>
      <c r="V18" s="309"/>
      <c r="W18" s="309"/>
      <c r="X18" s="309"/>
      <c r="Y18" s="309"/>
      <c r="Z18" s="309"/>
      <c r="AA18" s="309"/>
      <c r="AB18" s="309"/>
      <c r="AC18" s="309"/>
      <c r="AD18" s="309"/>
      <c r="AE18" s="309"/>
      <c r="AF18" s="309"/>
      <c r="AG18" s="309"/>
      <c r="AH18" s="309"/>
      <c r="AI18" s="309"/>
      <c r="AJ18" s="309"/>
      <c r="AK18" s="309"/>
      <c r="AL18" s="309"/>
      <c r="AP18" s="133">
        <v>4</v>
      </c>
      <c r="AQ18" s="133">
        <f t="shared" ca="1" si="12"/>
        <v>4</v>
      </c>
      <c r="AR18" s="153">
        <v>43617</v>
      </c>
      <c r="AS18" s="133" t="s">
        <v>568</v>
      </c>
    </row>
    <row r="19" spans="3:45" x14ac:dyDescent="0.5">
      <c r="AP19" s="133">
        <v>5</v>
      </c>
      <c r="AQ19" s="133">
        <f t="shared" ca="1" si="12"/>
        <v>5</v>
      </c>
      <c r="AR19" s="153">
        <v>43647</v>
      </c>
      <c r="AS19" s="133" t="s">
        <v>568</v>
      </c>
    </row>
    <row r="20" spans="3:45" x14ac:dyDescent="0.5">
      <c r="AP20" s="133">
        <v>6</v>
      </c>
      <c r="AQ20" s="133">
        <f t="shared" ca="1" si="12"/>
        <v>6</v>
      </c>
      <c r="AR20" s="153">
        <v>43678</v>
      </c>
      <c r="AS20" s="133" t="s">
        <v>568</v>
      </c>
    </row>
    <row r="21" spans="3:45" x14ac:dyDescent="0.5">
      <c r="AP21" s="133">
        <v>7</v>
      </c>
      <c r="AQ21" s="133">
        <f t="shared" ca="1" si="12"/>
        <v>7</v>
      </c>
      <c r="AR21" s="153">
        <v>43709</v>
      </c>
      <c r="AS21" s="133" t="s">
        <v>568</v>
      </c>
    </row>
    <row r="22" spans="3:45" x14ac:dyDescent="0.5">
      <c r="AP22" s="133">
        <v>8</v>
      </c>
      <c r="AQ22" s="133">
        <f t="shared" ca="1" si="12"/>
        <v>8</v>
      </c>
      <c r="AR22" s="153">
        <v>43739</v>
      </c>
      <c r="AS22" s="133" t="s">
        <v>568</v>
      </c>
    </row>
    <row r="23" spans="3:45" x14ac:dyDescent="0.5">
      <c r="AP23" s="133">
        <v>9</v>
      </c>
      <c r="AQ23" s="133">
        <f t="shared" ca="1" si="12"/>
        <v>9</v>
      </c>
      <c r="AR23" s="153">
        <v>43770</v>
      </c>
      <c r="AS23" s="133" t="s">
        <v>567</v>
      </c>
    </row>
    <row r="24" spans="3:45" x14ac:dyDescent="0.5">
      <c r="AP24" s="133">
        <v>10</v>
      </c>
      <c r="AQ24" s="133">
        <f t="shared" ca="1" si="12"/>
        <v>10</v>
      </c>
      <c r="AR24" s="153">
        <v>43800</v>
      </c>
      <c r="AS24" s="133" t="s">
        <v>571</v>
      </c>
    </row>
    <row r="25" spans="3:45" x14ac:dyDescent="0.5">
      <c r="AP25" s="133">
        <v>11</v>
      </c>
      <c r="AQ25" s="133">
        <f t="shared" ca="1" si="12"/>
        <v>11</v>
      </c>
      <c r="AR25" s="153">
        <v>43831</v>
      </c>
      <c r="AS25" s="133" t="s">
        <v>564</v>
      </c>
    </row>
    <row r="26" spans="3:45" x14ac:dyDescent="0.5">
      <c r="AS26" s="133" t="str">
        <f ca="1">"Realizar la autoevaluación, establecer el Plan de mejora e incluirlo en el Plan Anual del SSGSST para el año " &amp; YEAR(D6)+1</f>
        <v>Realizar la autoevaluación, establecer el Plan de mejora e incluirlo en el Plan Anual del SSGSST para el año 2025</v>
      </c>
    </row>
    <row r="27" spans="3:45" x14ac:dyDescent="0.5">
      <c r="AS27" s="133" t="s">
        <v>569</v>
      </c>
    </row>
    <row r="28" spans="3:45" x14ac:dyDescent="0.5">
      <c r="AS28" s="133" t="s">
        <v>570</v>
      </c>
    </row>
    <row r="29" spans="3:45" x14ac:dyDescent="0.5">
      <c r="AS29" s="133" t="s">
        <v>581</v>
      </c>
    </row>
  </sheetData>
  <sheetProtection password="CDD8" sheet="1" objects="1" scenarios="1"/>
  <mergeCells count="21">
    <mergeCell ref="B7:AL7"/>
    <mergeCell ref="D6:T6"/>
    <mergeCell ref="C16:AL16"/>
    <mergeCell ref="U12:AD12"/>
    <mergeCell ref="AG9:AL9"/>
    <mergeCell ref="AG8:AL8"/>
    <mergeCell ref="AE12:AL12"/>
    <mergeCell ref="AE11:AL11"/>
    <mergeCell ref="B8:H8"/>
    <mergeCell ref="I8:T8"/>
    <mergeCell ref="U8:AF8"/>
    <mergeCell ref="B11:D11"/>
    <mergeCell ref="E11:H11"/>
    <mergeCell ref="I11:T11"/>
    <mergeCell ref="U11:AD11"/>
    <mergeCell ref="B12:D12"/>
    <mergeCell ref="E12:H12"/>
    <mergeCell ref="C18:AL18"/>
    <mergeCell ref="I12:T12"/>
    <mergeCell ref="C17:AL17"/>
    <mergeCell ref="C15:AL15"/>
  </mergeCells>
  <conditionalFormatting sqref="W9:AF9">
    <cfRule type="expression" dxfId="6" priority="282">
      <formula>W$2=1</formula>
    </cfRule>
  </conditionalFormatting>
  <conditionalFormatting sqref="U11:AD12">
    <cfRule type="expression" dxfId="5" priority="283">
      <formula>$U$3=1</formula>
    </cfRule>
  </conditionalFormatting>
  <conditionalFormatting sqref="AE11:AL11">
    <cfRule type="expression" dxfId="4" priority="5">
      <formula>$AE$3=1</formula>
    </cfRule>
  </conditionalFormatting>
  <conditionalFormatting sqref="AE12:AL12">
    <cfRule type="expression" dxfId="3" priority="4">
      <formula>$AE$3=1</formula>
    </cfRule>
  </conditionalFormatting>
  <conditionalFormatting sqref="AG9:AL9">
    <cfRule type="expression" dxfId="2" priority="3">
      <formula>$AG$3=1</formula>
    </cfRule>
  </conditionalFormatting>
  <conditionalFormatting sqref="U8">
    <cfRule type="expression" dxfId="1" priority="2">
      <formula>$U$3=1</formula>
    </cfRule>
  </conditionalFormatting>
  <conditionalFormatting sqref="AG8:AL8">
    <cfRule type="expression" dxfId="0" priority="1">
      <formula>$AG$3=1</formula>
    </cfRule>
  </conditionalFormatting>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Hojas de cálculo</vt:lpstr>
      </vt:variant>
      <vt:variant>
        <vt:i4>11</vt:i4>
      </vt:variant>
      <vt:variant>
        <vt:lpstr>Gráficos</vt:lpstr>
      </vt:variant>
      <vt:variant>
        <vt:i4>3</vt:i4>
      </vt:variant>
      <vt:variant>
        <vt:lpstr>Rangos con nombre</vt:lpstr>
      </vt:variant>
      <vt:variant>
        <vt:i4>2</vt:i4>
      </vt:variant>
    </vt:vector>
  </HeadingPairs>
  <TitlesOfParts>
    <vt:vector size="16" baseType="lpstr">
      <vt:lpstr>Mnu</vt:lpstr>
      <vt:lpstr>RegEv</vt:lpstr>
      <vt:lpstr>TablaEst</vt:lpstr>
      <vt:lpstr>RegEmp</vt:lpstr>
      <vt:lpstr>ModVer</vt:lpstr>
      <vt:lpstr>PlanMej</vt:lpstr>
      <vt:lpstr>MappEV</vt:lpstr>
      <vt:lpstr>MappPM</vt:lpstr>
      <vt:lpstr>Info1</vt:lpstr>
      <vt:lpstr>Info2</vt:lpstr>
      <vt:lpstr>Fases</vt:lpstr>
      <vt:lpstr>Graf1</vt:lpstr>
      <vt:lpstr>Graf2</vt:lpstr>
      <vt:lpstr>Graf3</vt:lpstr>
      <vt:lpstr>TablaEst!Área_de_impresión</vt:lpstr>
      <vt:lpstr>TablaEst!Títulos_a_imprimir</vt:lpstr>
    </vt:vector>
  </TitlesOfParts>
  <Company>ARP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Rodolfo Castro Gonzalez</dc:creator>
  <cp:lastModifiedBy>Mary</cp:lastModifiedBy>
  <cp:lastPrinted>2021-09-13T22:16:41Z</cp:lastPrinted>
  <dcterms:created xsi:type="dcterms:W3CDTF">2019-03-02T04:10:59Z</dcterms:created>
  <dcterms:modified xsi:type="dcterms:W3CDTF">2024-11-29T15:44:51Z</dcterms:modified>
</cp:coreProperties>
</file>